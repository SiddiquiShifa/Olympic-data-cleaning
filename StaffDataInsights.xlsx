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D8CD1125-2A56-4044-B5FB-65B2AAC90789}" xr6:coauthVersionLast="47" xr6:coauthVersionMax="47" xr10:uidLastSave="{00000000-0000-0000-0000-000000000000}"/>
  <bookViews>
    <workbookView xWindow="-108" yWindow="-108" windowWidth="23256" windowHeight="12456" activeTab="6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4" i="7" l="1" a="1"/>
  <c r="B74" i="7" s="1"/>
  <c r="B65" i="7" a="1"/>
  <c r="B65" i="7"/>
  <c r="B57" i="7"/>
  <c r="C25" i="7"/>
  <c r="B51" i="7"/>
  <c r="B47" i="7"/>
  <c r="B40" i="7"/>
  <c r="C26" i="7"/>
  <c r="C36" i="7"/>
  <c r="C31" i="7"/>
  <c r="C24" i="7"/>
  <c r="C9" i="7"/>
  <c r="C18" i="7"/>
  <c r="C17" i="7"/>
  <c r="C27" i="7"/>
  <c r="C12" i="7"/>
  <c r="C11" i="7"/>
  <c r="C10" i="7"/>
  <c r="B5" i="6" a="1"/>
  <c r="B5" i="6" s="1"/>
  <c r="B22" i="6" s="1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B101" i="4" a="1"/>
  <c r="B101" i="4" s="1"/>
  <c r="B76" i="4" a="1"/>
  <c r="B76" i="4" s="1"/>
  <c r="B54" i="4" a="1"/>
  <c r="B54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B4" i="4" a="1"/>
  <c r="B4" i="4" s="1"/>
  <c r="F3" i="3" a="1"/>
  <c r="F3" i="3" s="1"/>
  <c r="E3" i="3" a="1"/>
  <c r="E3" i="3" s="1"/>
  <c r="H3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<sst xmlns="http://schemas.openxmlformats.org/spreadsheetml/2006/main" count="2452" uniqueCount="807">
  <si>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</si>
  <si>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</si>
  <si>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</si>
  <si>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</si>
  <si>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</si>
  <si>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</si>
  <si>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</si>
  <si>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</si>
  <si>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</si>
  <si>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</si>
  <si>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</si>
  <si>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</si>
  <si>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</si>
  <si>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</si>
  <si>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</si>
  <si>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</si>
  <si>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</si>
  <si>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</si>
  <si>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</si>
  <si>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</si>
  <si>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</si>
  <si>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</si>
  <si>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</si>
  <si>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</si>
  <si>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</si>
  <si>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</si>
  <si>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</si>
  <si>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</si>
  <si>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</si>
  <si>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</si>
  <si>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</si>
  <si>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</si>
  <si>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</si>
  <si>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</si>
  <si>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</si>
  <si>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</si>
  <si>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</si>
  <si>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</si>
  <si>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</si>
  <si>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</si>
  <si>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</si>
  <si>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</si>
  <si>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</si>
  <si>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</si>
  <si>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</si>
  <si>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</si>
  <si>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</si>
  <si>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</si>
  <si>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</si>
  <si>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</si>
  <si>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</si>
  <si>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</si>
  <si>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</si>
  <si>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</si>
  <si>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</si>
  <si>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</si>
  <si>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</si>
  <si>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</si>
  <si>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</si>
  <si>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</si>
  <si>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</si>
  <si>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</si>
  <si>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</si>
  <si>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</si>
  <si>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</si>
  <si>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</si>
  <si>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</si>
  <si>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</si>
  <si>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</si>
  <si>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</si>
  <si>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</si>
  <si>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</si>
  <si>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</si>
  <si>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</si>
  <si>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</si>
  <si>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</si>
  <si>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</si>
  <si>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</si>
  <si>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</si>
  <si>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</si>
  <si>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</si>
  <si>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</si>
  <si>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</si>
  <si>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</si>
  <si>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</si>
  <si>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</si>
  <si>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</si>
  <si>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</si>
  <si>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</si>
  <si>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</si>
  <si>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</si>
  <si>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</si>
  <si>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</si>
  <si>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</si>
  <si>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</si>
  <si>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</si>
  <si>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</si>
  <si>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</si>
  <si>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</si>
  <si>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</si>
  <si>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</si>
  <si>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</si>
  <si>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</si>
  <si>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</si>
  <si>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</si>
  <si>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</si>
  <si>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</si>
  <si>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</si>
  <si>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</si>
  <si>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</si>
  <si>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</si>
  <si>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</si>
  <si>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</si>
  <si>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</si>
  <si>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</si>
  <si>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</si>
  <si>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</si>
  <si>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</si>
  <si>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</si>
  <si>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</si>
  <si>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</si>
  <si>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</si>
  <si>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</si>
  <si>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</si>
  <si>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</si>
  <si>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</si>
  <si>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</si>
  <si>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</si>
  <si>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</si>
  <si>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</si>
  <si>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</si>
  <si>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</si>
  <si>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</si>
  <si>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</si>
  <si>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</si>
  <si>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</si>
  <si>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</si>
  <si>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</si>
  <si>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</si>
  <si>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</si>
  <si>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</si>
  <si>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</si>
  <si>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</si>
  <si>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</si>
  <si>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</si>
  <si>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</si>
  <si>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</si>
  <si>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</si>
  <si>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</si>
  <si>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</si>
  <si>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</si>
  <si>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</si>
  <si>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</si>
  <si>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</si>
  <si>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</si>
  <si>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</si>
  <si>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</si>
  <si>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</si>
  <si>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</si>
  <si>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</si>
  <si>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</si>
  <si>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</si>
  <si>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</si>
  <si>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</si>
  <si>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</si>
  <si>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</si>
  <si>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</si>
  <si>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</si>
  <si>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</si>
  <si>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</si>
  <si>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</si>
  <si>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</si>
  <si>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</si>
  <si>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</si>
  <si>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</si>
  <si>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</si>
  <si>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</si>
  <si>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</si>
  <si>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</si>
  <si>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</si>
  <si>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</si>
  <si>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</si>
  <si>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</si>
  <si>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</si>
  <si>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</si>
  <si>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</si>
  <si>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</si>
  <si>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</si>
  <si>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</si>
  <si>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</si>
  <si>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</si>
  <si>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</si>
  <si>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</si>
  <si>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</si>
  <si>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</si>
  <si>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</si>
  <si>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</si>
  <si>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</si>
  <si>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</si>
  <si>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</si>
  <si>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</si>
  <si>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</si>
  <si>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</si>
  <si>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</si>
  <si>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</si>
  <si>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</si>
  <si>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</si>
  <si>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</si>
  <si>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</si>
  <si>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</si>
  <si>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</si>
  <si>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</si>
  <si>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</si>
  <si>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</si>
  <si>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</si>
  <si>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</si>
  <si>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</si>
  <si>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</si>
  <si>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</si>
  <si>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</si>
  <si>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</si>
  <si>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</si>
  <si>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</si>
  <si>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</si>
  <si>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</si>
  <si>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</si>
  <si>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</si>
  <si>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</si>
  <si>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</si>
  <si>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</si>
  <si>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</si>
  <si>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</si>
  <si>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</si>
  <si>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</si>
  <si>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</si>
  <si>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</si>
  <si>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</si>
  <si>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</si>
  <si>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</si>
  <si>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</si>
  <si>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</si>
  <si>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</si>
  <si>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</si>
  <si>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</si>
  <si>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</si>
  <si>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</si>
  <si>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</si>
  <si>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</si>
  <si>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</si>
  <si>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</si>
  <si>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</si>
  <si>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</si>
  <si>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</si>
  <si>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</si>
  <si>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</si>
  <si>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</si>
  <si>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</si>
  <si>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</si>
  <si>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</si>
  <si>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</si>
  <si>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</si>
  <si>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</si>
  <si>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</si>
  <si>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</si>
  <si>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</si>
  <si>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</si>
  <si>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</si>
  <si>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</si>
  <si>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</si>
  <si>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</si>
  <si>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</si>
  <si>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</si>
  <si>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</si>
  <si>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</si>
  <si>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</si>
  <si>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</si>
  <si>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</si>
  <si>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</si>
  <si>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</si>
  <si>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</si>
  <si>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</si>
  <si>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</si>
  <si>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</si>
  <si>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</si>
  <si>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</si>
  <si>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</si>
  <si>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</si>
  <si>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</si>
  <si>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</si>
  <si>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</si>
  <si>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</si>
  <si>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</si>
  <si>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</si>
  <si>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</si>
  <si>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</si>
  <si>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</si>
  <si>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</si>
  <si>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</si>
  <si>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</si>
  <si>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</si>
  <si>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</si>
  <si>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</si>
  <si>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</si>
  <si>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</si>
  <si>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</si>
  <si>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</si>
  <si>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</si>
  <si>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</si>
  <si>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</si>
  <si>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</si>
  <si>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</si>
  <si>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</si>
  <si>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</si>
  <si>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</si>
  <si>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</si>
  <si>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</si>
  <si>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</si>
  <si>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</si>
  <si>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</si>
  <si>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</si>
  <si>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</si>
  <si>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</si>
  <si>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</si>
  <si>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</si>
  <si>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</si>
  <si>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</si>
  <si>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</si>
  <si>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</si>
  <si>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</si>
  <si>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</si>
  <si>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</si>
  <si>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</si>
  <si>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</si>
  <si>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</si>
  <si>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</si>
  <si>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</si>
  <si>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</si>
  <si>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</si>
  <si>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</si>
  <si>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</si>
  <si>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</si>
  <si>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</si>
  <si>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</si>
  <si>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</si>
  <si>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</si>
  <si>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</si>
  <si>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</si>
  <si>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</si>
  <si>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</si>
  <si>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</si>
  <si>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</si>
  <si>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</si>
  <si>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</si>
  <si>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</si>
  <si>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</si>
  <si>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</si>
  <si>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</si>
  <si>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</si>
  <si>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</si>
  <si>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</si>
  <si>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</si>
  <si>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</si>
  <si>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</si>
  <si>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</si>
  <si>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</si>
  <si>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</si>
  <si>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</si>
  <si>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</si>
  <si>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</si>
  <si>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</si>
  <si>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</si>
  <si>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</si>
  <si>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</si>
  <si>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</si>
  <si>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</si>
  <si>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</si>
  <si>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</si>
  <si>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</si>
  <si>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</si>
  <si>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</si>
  <si>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</si>
  <si>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</si>
  <si>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</si>
  <si>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</si>
  <si>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</si>
  <si>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</si>
  <si>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</si>
  <si>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</si>
  <si>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</si>
  <si>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</si>
  <si>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</si>
  <si>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</si>
  <si>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</si>
  <si>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</si>
  <si>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</si>
  <si>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</si>
  <si>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</si>
  <si>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</si>
  <si>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</si>
  <si>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</si>
  <si>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</si>
  <si>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</si>
  <si>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</si>
  <si>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</si>
  <si>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</si>
  <si>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</si>
  <si>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</si>
  <si>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</si>
  <si>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</si>
  <si>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</si>
  <si>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</si>
  <si>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</si>
  <si>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</si>
  <si>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</si>
  <si>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</si>
  <si>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</si>
  <si>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</si>
  <si>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</si>
  <si>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</si>
  <si>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</si>
  <si>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</si>
  <si>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</si>
  <si>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</si>
  <si>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</si>
  <si>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</si>
  <si>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</si>
  <si>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</si>
  <si>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</si>
  <si>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</si>
  <si>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</si>
  <si>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</si>
  <si>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</si>
  <si>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</si>
  <si>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</si>
  <si>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</si>
  <si>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</si>
  <si>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</si>
  <si>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</si>
  <si>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</si>
  <si>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</si>
  <si>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</si>
  <si>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</si>
  <si>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</si>
  <si>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</si>
  <si>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</si>
  <si>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</si>
  <si>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</si>
  <si>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</si>
  <si>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</si>
  <si>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</si>
  <si>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</si>
  <si>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</si>
  <si>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</si>
  <si>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</si>
  <si>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</si>
  <si>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</si>
  <si>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</si>
  <si>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</si>
  <si>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</si>
  <si>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</si>
  <si>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</si>
  <si>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</si>
  <si>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</si>
  <si>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</si>
  <si>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</si>
  <si>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</si>
  <si>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</si>
  <si>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</si>
  <si>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</si>
  <si>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</si>
  <si>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</si>
  <si>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</si>
  <si>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</si>
  <si>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</si>
  <si>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</si>
  <si>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</si>
  <si>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</si>
  <si>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</si>
  <si>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</si>
  <si>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</si>
  <si>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</si>
  <si>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</si>
  <si>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</si>
  <si>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</si>
  <si>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</si>
  <si>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</si>
  <si>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</si>
  <si>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</si>
  <si>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</si>
  <si>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</si>
  <si>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</si>
  <si>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</si>
  <si>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</si>
  <si>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</si>
  <si>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</si>
  <si>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</si>
  <si>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</si>
  <si>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</si>
  <si>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</si>
  <si>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</si>
  <si>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</si>
  <si>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</si>
  <si>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</si>
  <si>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</si>
  <si>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</si>
  <si>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</si>
  <si>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</si>
  <si>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</si>
  <si>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</si>
  <si>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</si>
  <si>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</si>
  <si>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</si>
  <si>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</si>
  <si>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</si>
  <si>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</si>
  <si>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</si>
  <si>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</si>
  <si>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</si>
  <si>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</si>
  <si>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</si>
  <si>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</si>
  <si>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</si>
  <si>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</si>
  <si>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</si>
  <si>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</si>
  <si>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</si>
  <si>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</si>
  <si>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</si>
  <si>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</si>
  <si>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</si>
  <si>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</si>
  <si>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</si>
  <si>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</si>
  <si>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</si>
  <si>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</si>
  <si>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</si>
  <si>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</si>
  <si>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</si>
  <si>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</si>
  <si>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</si>
  <si>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</si>
  <si>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</si>
  <si>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</si>
  <si>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</si>
  <si>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</si>
  <si>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</si>
  <si>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</si>
  <si>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</si>
  <si>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</si>
  <si>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</si>
  <si>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</si>
  <si>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</si>
  <si>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</si>
  <si>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</si>
  <si>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</si>
  <si>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</si>
  <si>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</si>
  <si>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</si>
  <si>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</si>
  <si>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</si>
  <si>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</si>
  <si>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</si>
  <si>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</si>
  <si>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</si>
  <si>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</si>
  <si>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</si>
  <si>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</si>
  <si>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</si>
  <si>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</si>
  <si>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</si>
  <si>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</si>
  <si>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</si>
  <si>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</si>
  <si>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</si>
  <si>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</si>
  <si>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</si>
  <si>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</si>
  <si>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</si>
  <si>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</si>
  <si>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</si>
  <si>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</si>
  <si>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</si>
  <si>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</si>
  <si>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</si>
  <si>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</si>
  <si>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</si>
  <si>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</si>
  <si>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</si>
  <si>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</si>
  <si>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</si>
  <si>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</si>
  <si>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</si>
  <si>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</si>
  <si>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</si>
  <si>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</si>
  <si>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</si>
  <si>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</si>
  <si>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</si>
  <si>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</si>
  <si>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</si>
  <si>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</si>
  <si>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</si>
  <si>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</si>
  <si>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</si>
  <si>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</si>
  <si>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</si>
  <si>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</si>
  <si>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</si>
  <si>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</si>
  <si>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</si>
  <si>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</si>
  <si>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</si>
  <si>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</si>
  <si>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</si>
  <si>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</si>
  <si>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</si>
  <si>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</si>
  <si>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</si>
  <si>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</si>
  <si>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</si>
  <si>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</si>
  <si>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</si>
  <si>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</si>
  <si>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</si>
  <si>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</si>
  <si>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</si>
  <si>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</si>
  <si>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</si>
  <si>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</si>
  <si>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</si>
  <si>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</si>
  <si>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</si>
  <si>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</si>
  <si>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</si>
  <si>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</si>
  <si>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</si>
  <si>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</si>
  <si>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</si>
  <si>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</si>
  <si>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</si>
  <si>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</si>
  <si>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</si>
  <si>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</si>
  <si>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</si>
  <si>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</si>
  <si>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</si>
  <si>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</si>
  <si>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</si>
  <si>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</si>
  <si>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</si>
  <si>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</si>
  <si>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</si>
  <si>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</si>
  <si>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</si>
  <si>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</si>
  <si>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</si>
  <si>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</si>
  <si>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</si>
  <si>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</si>
  <si>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</si>
  <si>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</si>
  <si>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</si>
  <si>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</si>
  <si>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</si>
  <si>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</si>
  <si>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</si>
  <si>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</si>
  <si>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</si>
  <si>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</si>
  <si>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</si>
  <si>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</si>
  <si>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</si>
  <si>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</si>
  <si>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</si>
  <si>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</si>
  <si>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</si>
  <si>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</si>
  <si>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</si>
  <si>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</si>
  <si>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</si>
  <si>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</si>
  <si>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</si>
  <si>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</si>
  <si>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</si>
  <si>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</si>
  <si>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</si>
  <si>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</si>
  <si>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</si>
  <si>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</si>
  <si>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</si>
  <si>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</si>
  <si>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</si>
  <si>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</si>
  <si>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</si>
  <si>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</si>
  <si>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</si>
  <si>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</si>
  <si>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</si>
  <si>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</si>
  <si>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</si>
  <si>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</si>
  <si>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</si>
  <si>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</si>
  <si>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</si>
  <si>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</si>
  <si>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</si>
  <si>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</si>
  <si>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</si>
  <si>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</si>
  <si>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</si>
  <si>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</si>
  <si>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</si>
  <si>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</si>
  <si>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</si>
  <si>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</si>
  <si>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</si>
  <si>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</si>
  <si>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</si>
  <si>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</si>
  <si>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</si>
  <si>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</si>
  <si>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</si>
  <si>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</si>
  <si>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</si>
  <si>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</si>
  <si>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</si>
  <si>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</si>
  <si>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</si>
  <si>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</si>
  <si>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</si>
  <si>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</si>
  <si>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</si>
  <si>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</si>
  <si>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</si>
  <si>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</si>
  <si>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</si>
  <si>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</si>
  <si>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</si>
  <si>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</si>
  <si>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</si>
  <si>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</si>
  <si>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</si>
  <si>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</si>
  <si>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</si>
  <si>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</si>
  <si>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</si>
  <si>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</si>
  <si>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</si>
  <si>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</si>
  <si>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</si>
  <si>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</si>
  <si>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</si>
  <si>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</si>
  <si>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</si>
  <si>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</si>
  <si>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</si>
  <si>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</si>
  <si>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</si>
  <si>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</si>
  <si>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</si>
  <si>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</si>
  <si>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</si>
  <si>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</si>
  <si>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</si>
  <si>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</si>
  <si>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</si>
  <si>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</si>
  <si>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</si>
  <si>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</si>
  <si>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</si>
  <si>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</si>
  <si>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</si>
  <si>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</si>
  <si>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</si>
  <si>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</si>
  <si>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</si>
  <si>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</si>
  <si>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</si>
  <si>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</si>
  <si>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</si>
  <si>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</si>
  <si>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</si>
  <si>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</si>
  <si>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</si>
  <si>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</si>
  <si>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</si>
  <si>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</si>
  <si>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</si>
  <si>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</si>
  <si>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</si>
  <si>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</si>
  <si>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</si>
  <si>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</si>
  <si>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</si>
  <si>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</si>
  <si>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</si>
  <si>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t>Given the Last name, return its emptype from the product table.</t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</si>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</sst>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1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7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2" fillId="0" borderId="6" xfId="0" applyFont="1" applyBorder="1" applyAlignment="1">
      <alignment horizontal="center"/>
    </xf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0" xfId="0" applyFill="1" applyBorder="1"/>
    <xf numFmtId="0" fontId="0" fillId="8" borderId="11" xfId="0" applyFill="1" applyBorder="1"/>
    <xf numFmtId="0" fontId="0" fillId="8" borderId="12" xfId="0" applyFill="1" applyBorder="1"/>
    <xf numFmtId="0" fontId="0" fillId="8" borderId="4" xfId="0" applyFill="1" applyBorder="1"/>
    <xf numFmtId="0" fontId="0" fillId="8" borderId="13" xfId="0" applyFill="1" applyBorder="1"/>
    <xf numFmtId="14" fontId="0" fillId="8" borderId="12" xfId="0" applyNumberFormat="1" applyFill="1" applyBorder="1"/>
    <xf numFmtId="0" fontId="0" fillId="8" borderId="10" xfId="0" applyFill="1" applyBorder="1" applyAlignment="1">
      <alignment horizontal="left" vertical="center" indent="1"/>
    </xf>
    <xf numFmtId="166" fontId="0" fillId="8" borderId="12" xfId="0" applyNumberFormat="1" applyFill="1" applyBorder="1"/>
    <xf numFmtId="0" fontId="2" fillId="8" borderId="10" xfId="0" applyFont="1" applyFill="1" applyBorder="1" applyAlignment="1">
      <alignment horizontal="left" vertical="center" indent="1"/>
    </xf>
  </cellXfs>
  <cellStyles count="4">
    <cellStyle name="Comma" xfId="3" builtinId="3"/>
    <cellStyle name="Currency" xfId="2" builtinId="4"/>
    <cellStyle name="Good" xfId="1" builtinId="26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G12" sqref="G12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C18" sqref="C18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64" zoomScale="101" zoomScaleNormal="115" workbookViewId="0">
      <selection activeCell="I2" sqref="I2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 cm="1">
        <f t="array" ref="B101:I101">INDEX(staff[#Headers],1,_xlfn.SEQUENCE(1,8))</f>
        <v>Emp ID</v>
      </c>
      <c r="C101" t="str">
        <v>First Name</v>
      </c>
      <c r="D101" t="str">
        <v>Last Name</v>
      </c>
      <c r="E101" t="str">
        <v>Gender</v>
      </c>
      <c r="F101" t="str">
        <v>Department</v>
      </c>
      <c r="G101" t="str">
        <v>Salary</v>
      </c>
      <c r="H101" t="str">
        <v>Salary Bucket</v>
      </c>
      <c r="I101" t="str">
        <v>Start Date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55" t="s">
        <v>778</v>
      </c>
      <c r="C4" s="55"/>
      <c r="D4" s="55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55" t="s">
        <v>779</v>
      </c>
      <c r="C5" s="55"/>
      <c r="D5" s="55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55" t="s">
        <v>780</v>
      </c>
      <c r="C6" s="55"/>
      <c r="D6" s="55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55" t="s">
        <v>783</v>
      </c>
      <c r="C14" s="55"/>
      <c r="D14" s="55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workbookViewId="0">
      <selection activeCell="L18" sqref="L18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F75"/>
  <sheetViews>
    <sheetView tabSelected="1" topLeftCell="A62" workbookViewId="0">
      <selection activeCell="H82" sqref="H82"/>
    </sheetView>
  </sheetViews>
  <sheetFormatPr defaultRowHeight="14.4" x14ac:dyDescent="0.3"/>
  <cols>
    <col min="2" max="2" width="15" customWidth="1"/>
    <col min="3" max="3" width="23.33203125" customWidth="1"/>
    <col min="9" max="9" width="8.88671875" customWidth="1"/>
  </cols>
  <sheetData>
    <row r="4" spans="2:4" ht="18" x14ac:dyDescent="0.35">
      <c r="B4" s="45" t="s">
        <v>788</v>
      </c>
      <c r="C4" s="50"/>
    </row>
    <row r="7" spans="2:4" ht="18" x14ac:dyDescent="0.35">
      <c r="B7" t="s">
        <v>789</v>
      </c>
      <c r="C7" s="51" t="s">
        <v>557</v>
      </c>
      <c r="D7" s="52"/>
    </row>
    <row r="8" spans="2:4" ht="18" x14ac:dyDescent="0.35">
      <c r="C8" s="52"/>
      <c r="D8" s="52"/>
    </row>
    <row r="9" spans="2:4" ht="18" x14ac:dyDescent="0.35">
      <c r="B9" t="s">
        <v>790</v>
      </c>
      <c r="C9" s="53" t="str">
        <f>VLOOKUP(C7,staff[],2,FALSE)</f>
        <v>Sidoney</v>
      </c>
      <c r="D9" s="52"/>
    </row>
    <row r="10" spans="2:4" ht="18" x14ac:dyDescent="0.35">
      <c r="B10" t="s">
        <v>791</v>
      </c>
      <c r="C10" s="53" t="str">
        <f>VLOOKUP(C7,staff[],3,FALSE)</f>
        <v>Yitzhok</v>
      </c>
      <c r="D10" s="52"/>
    </row>
    <row r="11" spans="2:4" ht="18" x14ac:dyDescent="0.35">
      <c r="B11" t="s">
        <v>4</v>
      </c>
      <c r="C11" s="53" t="str">
        <f>VLOOKUP(C7,staff[],5,FALSE)</f>
        <v>Engineering</v>
      </c>
      <c r="D11" s="52"/>
    </row>
    <row r="12" spans="2:4" ht="18" x14ac:dyDescent="0.35">
      <c r="B12" t="s">
        <v>5</v>
      </c>
      <c r="C12" s="54">
        <f>VLOOKUP(C7,staff[],6,FALSE)</f>
        <v>118442.54</v>
      </c>
      <c r="D12" s="52"/>
    </row>
    <row r="15" spans="2:4" ht="18" x14ac:dyDescent="0.35">
      <c r="B15" t="s">
        <v>789</v>
      </c>
      <c r="C15" s="51" t="s">
        <v>792</v>
      </c>
    </row>
    <row r="17" spans="2:3" ht="18" x14ac:dyDescent="0.35">
      <c r="B17" t="s">
        <v>790</v>
      </c>
      <c r="C17" s="53" t="e">
        <f>VLOOKUP(C15,staff[],2,FALSE)</f>
        <v>#N/A</v>
      </c>
    </row>
    <row r="18" spans="2:3" ht="18" x14ac:dyDescent="0.35">
      <c r="B18" t="s">
        <v>790</v>
      </c>
      <c r="C18" s="53" t="str">
        <f>IFERROR(VLOOKUP(C15,staff[],3,FALSE),"Not Found")</f>
        <v>Not Found</v>
      </c>
    </row>
    <row r="23" spans="2:3" ht="18" x14ac:dyDescent="0.35">
      <c r="B23" t="s">
        <v>2</v>
      </c>
      <c r="C23" s="56" t="s">
        <v>221</v>
      </c>
    </row>
    <row r="24" spans="2:3" ht="18" x14ac:dyDescent="0.35">
      <c r="C24" s="52">
        <f>MATCH(C23,staff[Last Name],0)</f>
        <v>43</v>
      </c>
    </row>
    <row r="25" spans="2:3" ht="18" x14ac:dyDescent="0.35">
      <c r="B25" t="s">
        <v>793</v>
      </c>
      <c r="C25" s="53" t="str">
        <f>INDEX(staff[Emp ID],43)</f>
        <v>PR03532</v>
      </c>
    </row>
    <row r="26" spans="2:3" ht="18" x14ac:dyDescent="0.35">
      <c r="B26" t="s">
        <v>4</v>
      </c>
      <c r="C26" s="53" t="str">
        <f>INDEX(staff[Department],MATCH(C23,staff[Last Name],))</f>
        <v>Human Resources</v>
      </c>
    </row>
    <row r="27" spans="2:3" ht="18" x14ac:dyDescent="0.35">
      <c r="B27" t="s">
        <v>5</v>
      </c>
      <c r="C27" s="54">
        <f>INDEX(staff[Salary],MATCH(C23,staff[Last Name],0))</f>
        <v>72876.91</v>
      </c>
    </row>
    <row r="30" spans="2:3" x14ac:dyDescent="0.3">
      <c r="C30" t="s">
        <v>505</v>
      </c>
    </row>
    <row r="31" spans="2:3" x14ac:dyDescent="0.3">
      <c r="C31">
        <f>INDEX(staff[Salary],MATCH(C30,staff[First Name],0))</f>
        <v>114177.23</v>
      </c>
    </row>
    <row r="33" spans="1:6" x14ac:dyDescent="0.3">
      <c r="A33" s="38"/>
      <c r="B33" s="38"/>
      <c r="C33" s="38"/>
      <c r="D33" s="38"/>
      <c r="E33" s="38"/>
      <c r="F33" s="38"/>
    </row>
    <row r="34" spans="1:6" x14ac:dyDescent="0.3">
      <c r="A34" s="38"/>
      <c r="B34" s="57" t="s">
        <v>794</v>
      </c>
      <c r="C34" s="59"/>
      <c r="D34" s="61"/>
      <c r="E34" s="61"/>
      <c r="F34" s="38"/>
    </row>
    <row r="35" spans="1:6" x14ac:dyDescent="0.3">
      <c r="A35" s="38"/>
      <c r="B35" s="60" t="s">
        <v>795</v>
      </c>
      <c r="C35" s="62"/>
      <c r="D35" s="61"/>
      <c r="E35" s="61"/>
      <c r="F35" s="38"/>
    </row>
    <row r="36" spans="1:6" x14ac:dyDescent="0.3">
      <c r="A36" s="38"/>
      <c r="B36" s="63" t="s">
        <v>121</v>
      </c>
      <c r="C36" s="65" t="str">
        <f>VLOOKUP(B36,staff[],2,FALSE)</f>
        <v>Althea</v>
      </c>
      <c r="D36" s="61"/>
      <c r="E36" s="61"/>
      <c r="F36" s="38"/>
    </row>
    <row r="37" spans="1:6" x14ac:dyDescent="0.3">
      <c r="A37" s="38"/>
      <c r="B37" s="61"/>
      <c r="C37" s="61"/>
      <c r="D37" s="61"/>
      <c r="E37" s="61"/>
      <c r="F37" s="38"/>
    </row>
    <row r="38" spans="1:6" x14ac:dyDescent="0.3">
      <c r="A38" s="38"/>
      <c r="B38" s="57" t="s">
        <v>796</v>
      </c>
      <c r="C38" s="58"/>
      <c r="D38" s="58"/>
      <c r="E38" s="59"/>
      <c r="F38" s="38"/>
    </row>
    <row r="39" spans="1:6" x14ac:dyDescent="0.3">
      <c r="A39" s="38"/>
      <c r="B39" s="60" t="s">
        <v>436</v>
      </c>
      <c r="C39" s="61"/>
      <c r="D39" s="61"/>
      <c r="E39" s="62"/>
      <c r="F39" s="38"/>
    </row>
    <row r="40" spans="1:6" x14ac:dyDescent="0.3">
      <c r="A40" s="38"/>
      <c r="B40" s="63" t="str">
        <f>INDEX(staff[Employee type],MATCH(B39,staff[Last Name],0))</f>
        <v>Permanent</v>
      </c>
      <c r="C40" s="64"/>
      <c r="D40" s="64"/>
      <c r="E40" s="65"/>
      <c r="F40" s="38"/>
    </row>
    <row r="41" spans="1:6" x14ac:dyDescent="0.3">
      <c r="A41" s="38"/>
      <c r="B41" s="38"/>
      <c r="C41" s="38"/>
      <c r="D41" s="38"/>
      <c r="E41" s="38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57" t="s">
        <v>797</v>
      </c>
      <c r="C43" s="59"/>
      <c r="D43" s="38"/>
      <c r="E43" s="38"/>
      <c r="F43" s="38"/>
    </row>
    <row r="44" spans="1:6" x14ac:dyDescent="0.3">
      <c r="A44" s="38"/>
      <c r="B44" s="60" t="s">
        <v>798</v>
      </c>
      <c r="C44" s="62"/>
      <c r="D44" s="38"/>
      <c r="E44" s="38"/>
      <c r="F44" s="38"/>
    </row>
    <row r="45" spans="1:6" x14ac:dyDescent="0.3">
      <c r="A45" s="38"/>
      <c r="B45" s="60"/>
      <c r="C45" s="62"/>
      <c r="D45" s="38"/>
      <c r="E45" s="38"/>
      <c r="F45" s="38"/>
    </row>
    <row r="46" spans="1:6" x14ac:dyDescent="0.3">
      <c r="A46" s="38"/>
      <c r="B46" s="60">
        <v>120000</v>
      </c>
      <c r="C46" s="62"/>
      <c r="D46" s="38"/>
      <c r="E46" s="38"/>
      <c r="F46" s="38"/>
    </row>
    <row r="47" spans="1:6" x14ac:dyDescent="0.3">
      <c r="A47" s="38"/>
      <c r="B47" s="63" t="str">
        <f>INDEX(staff[First Name],MATCH(B46,staff[Salary],0))</f>
        <v>Minerva</v>
      </c>
      <c r="C47" s="65"/>
      <c r="D47" s="38"/>
      <c r="E47" s="38"/>
      <c r="F47" s="38"/>
    </row>
    <row r="48" spans="1:6" x14ac:dyDescent="0.3">
      <c r="A48" s="38"/>
      <c r="B48" s="38"/>
      <c r="C48" s="38"/>
      <c r="D48" s="38"/>
      <c r="E48" s="38"/>
      <c r="F48" s="38"/>
    </row>
    <row r="49" spans="1:6" x14ac:dyDescent="0.3">
      <c r="A49" s="38"/>
      <c r="B49" s="57" t="s">
        <v>799</v>
      </c>
      <c r="C49" s="58"/>
      <c r="D49" s="59"/>
      <c r="E49" s="38"/>
      <c r="F49" s="38"/>
    </row>
    <row r="50" spans="1:6" x14ac:dyDescent="0.3">
      <c r="A50" s="38"/>
      <c r="B50" s="60" t="s">
        <v>44</v>
      </c>
      <c r="C50" s="61"/>
      <c r="D50" s="62"/>
      <c r="E50" s="38"/>
      <c r="F50" s="38"/>
    </row>
    <row r="51" spans="1:6" x14ac:dyDescent="0.3">
      <c r="A51" s="38"/>
      <c r="B51" s="66">
        <f>INDEX(staff[Start Date],MATCH(B50,staff[Last Name],0))</f>
        <v>44120</v>
      </c>
      <c r="C51" s="64"/>
      <c r="D51" s="65"/>
      <c r="E51" s="38"/>
      <c r="F51" s="38"/>
    </row>
    <row r="52" spans="1:6" x14ac:dyDescent="0.3">
      <c r="A52" s="38"/>
      <c r="B52" s="38"/>
      <c r="C52" s="38"/>
      <c r="D52" s="38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57" t="s">
        <v>800</v>
      </c>
      <c r="C55" s="58"/>
      <c r="D55" s="58"/>
      <c r="E55" s="58"/>
      <c r="F55" s="59"/>
    </row>
    <row r="56" spans="1:6" x14ac:dyDescent="0.3">
      <c r="A56" s="38"/>
      <c r="B56" s="60">
        <v>8</v>
      </c>
      <c r="C56" s="61"/>
      <c r="D56" s="61"/>
      <c r="E56" s="61"/>
      <c r="F56" s="62"/>
    </row>
    <row r="57" spans="1:6" x14ac:dyDescent="0.3">
      <c r="A57" s="38"/>
      <c r="B57" s="63" t="str">
        <f>INDEX(staff[Employee type], 8)</f>
        <v>Permanent</v>
      </c>
      <c r="C57" s="64"/>
      <c r="D57" s="64"/>
      <c r="E57" s="64"/>
      <c r="F57" s="65"/>
    </row>
    <row r="58" spans="1:6" x14ac:dyDescent="0.3">
      <c r="A58" s="38"/>
      <c r="B58" s="38"/>
      <c r="C58" s="38"/>
      <c r="D58" s="38"/>
      <c r="E58" s="38"/>
      <c r="F58" s="38"/>
    </row>
    <row r="59" spans="1:6" x14ac:dyDescent="0.3">
      <c r="A59" s="38"/>
      <c r="B59" s="57" t="s">
        <v>801</v>
      </c>
      <c r="C59" s="58"/>
      <c r="D59" s="58"/>
      <c r="E59" s="59"/>
      <c r="F59" s="38"/>
    </row>
    <row r="60" spans="1:6" x14ac:dyDescent="0.3">
      <c r="A60" s="38"/>
      <c r="B60" s="67"/>
      <c r="C60" s="61"/>
      <c r="D60" s="61"/>
      <c r="E60" s="62"/>
      <c r="F60" s="38"/>
    </row>
    <row r="61" spans="1:6" x14ac:dyDescent="0.3">
      <c r="A61" s="38"/>
      <c r="B61" s="67" t="s">
        <v>802</v>
      </c>
      <c r="C61" s="61"/>
      <c r="D61" s="61"/>
      <c r="E61" s="62"/>
      <c r="F61" s="38"/>
    </row>
    <row r="62" spans="1:6" x14ac:dyDescent="0.3">
      <c r="A62" s="38"/>
      <c r="B62" s="67"/>
      <c r="C62" s="61"/>
      <c r="D62" s="61"/>
      <c r="E62" s="62"/>
      <c r="F62" s="38"/>
    </row>
    <row r="63" spans="1:6" x14ac:dyDescent="0.3">
      <c r="A63" s="38"/>
      <c r="B63" s="67" t="s">
        <v>803</v>
      </c>
      <c r="C63" s="61"/>
      <c r="D63" s="61"/>
      <c r="E63" s="62"/>
      <c r="F63" s="38"/>
    </row>
    <row r="64" spans="1:6" x14ac:dyDescent="0.3">
      <c r="A64" s="38"/>
      <c r="B64" s="60"/>
      <c r="C64" s="61"/>
      <c r="D64" s="61"/>
      <c r="E64" s="62"/>
      <c r="F64" s="38"/>
    </row>
    <row r="65" spans="1:6" x14ac:dyDescent="0.3">
      <c r="A65" s="38"/>
      <c r="B65" s="68" cm="1">
        <f t="array" ref="B65">INDEX(staff[Salary], MATCH(1, (staff[Gender]="Male")*(staff[Department]="Engineering"), 0))</f>
        <v>120000</v>
      </c>
      <c r="C65" s="64"/>
      <c r="D65" s="64"/>
      <c r="E65" s="65"/>
      <c r="F65" s="38"/>
    </row>
    <row r="66" spans="1:6" x14ac:dyDescent="0.3">
      <c r="A66" s="38"/>
      <c r="B66" s="38"/>
      <c r="C66" s="38"/>
      <c r="D66" s="38"/>
      <c r="E66" s="38"/>
      <c r="F66" s="38"/>
    </row>
    <row r="67" spans="1:6" x14ac:dyDescent="0.3">
      <c r="A67" s="38"/>
      <c r="B67" s="57" t="s">
        <v>804</v>
      </c>
      <c r="C67" s="58"/>
      <c r="D67" s="58"/>
      <c r="E67" s="58"/>
      <c r="F67" s="59"/>
    </row>
    <row r="68" spans="1:6" x14ac:dyDescent="0.3">
      <c r="A68" s="38"/>
      <c r="B68" s="67"/>
      <c r="C68" s="61"/>
      <c r="D68" s="61"/>
      <c r="E68" s="61"/>
      <c r="F68" s="62"/>
    </row>
    <row r="69" spans="1:6" x14ac:dyDescent="0.3">
      <c r="A69" s="38"/>
      <c r="B69" s="69" t="s">
        <v>805</v>
      </c>
      <c r="C69" s="61"/>
      <c r="D69" s="61"/>
      <c r="E69" s="61"/>
      <c r="F69" s="62"/>
    </row>
    <row r="70" spans="1:6" x14ac:dyDescent="0.3">
      <c r="A70" s="38"/>
      <c r="B70" s="67"/>
      <c r="C70" s="61"/>
      <c r="D70" s="61"/>
      <c r="E70" s="61"/>
      <c r="F70" s="62"/>
    </row>
    <row r="71" spans="1:6" x14ac:dyDescent="0.3">
      <c r="A71" s="38"/>
      <c r="B71" s="69" t="s">
        <v>806</v>
      </c>
      <c r="C71" s="61"/>
      <c r="D71" s="61"/>
      <c r="E71" s="61"/>
      <c r="F71" s="62"/>
    </row>
    <row r="72" spans="1:6" x14ac:dyDescent="0.3">
      <c r="A72" s="38"/>
      <c r="B72" s="60"/>
      <c r="C72" s="61"/>
      <c r="D72" s="61"/>
      <c r="E72" s="61"/>
      <c r="F72" s="62"/>
    </row>
    <row r="73" spans="1:6" x14ac:dyDescent="0.3">
      <c r="A73" s="38"/>
      <c r="B73" s="60"/>
      <c r="C73" s="61"/>
      <c r="D73" s="61"/>
      <c r="E73" s="61"/>
      <c r="F73" s="62"/>
    </row>
    <row r="74" spans="1:6" x14ac:dyDescent="0.3">
      <c r="A74" s="38"/>
      <c r="B74" s="63" t="str" cm="1">
        <f t="array" ref="B74">INDEX(staff[Work location],MATCH(1,(staff[Gender]="Male")*(staff[Employee type]="Permanent"),0))</f>
        <v>Remote</v>
      </c>
      <c r="C74" s="64"/>
      <c r="D74" s="64"/>
      <c r="E74" s="64"/>
      <c r="F74" s="65"/>
    </row>
    <row r="75" spans="1:6" x14ac:dyDescent="0.3">
      <c r="A75" s="38"/>
      <c r="B75" s="38"/>
      <c r="C75" s="38"/>
      <c r="D75" s="38"/>
      <c r="E75" s="38"/>
      <c r="F75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Concepts</vt:lpstr>
      <vt:lpstr>Data</vt:lpstr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2025-11-21T18:15:30Z</dcterms:modified>
</cp:coreProperties>
</file>