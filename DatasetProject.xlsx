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n\Documents\GitHub\Excel-Datasets-Analysis\"/>
    </mc:Choice>
  </mc:AlternateContent>
  <xr:revisionPtr revIDLastSave="0" documentId="8_{1AE75A6B-A285-4F35-A7A2-D42B11CBFF1A}" xr6:coauthVersionLast="47" xr6:coauthVersionMax="47" xr10:uidLastSave="{00000000-0000-0000-0000-000000000000}"/>
  <bookViews>
    <workbookView xWindow="-108" yWindow="-108" windowWidth="23256" windowHeight="12456" activeTab="1" xr2:uid="{2EA11005-F366-42C0-9F59-D42018D24277}"/>
  </bookViews>
  <sheets>
    <sheet name="Sheet2" sheetId="4" r:id="rId1"/>
    <sheet name="Dataset " sheetId="3" r:id="rId2"/>
    <sheet name="Sheet1" sheetId="2" r:id="rId3"/>
  </sheets>
  <definedNames>
    <definedName name="ExternalData_1" localSheetId="1" hidden="1">'Dataset '!$A$1:$H$51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AA9EED-5F03-4CAF-A03E-1DBFE519908B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<sst xmlns="http://schemas.openxmlformats.org/spreadsheetml/2006/main" count="186" uniqueCount="30">
  <si>
    <t>Post ID</t>
  </si>
  <si>
    <t>Platform</t>
  </si>
  <si>
    <t>Post Type</t>
  </si>
  <si>
    <t>Topic</t>
  </si>
  <si>
    <t>Likes</t>
  </si>
  <si>
    <t>Comments</t>
  </si>
  <si>
    <t>Shares</t>
  </si>
  <si>
    <t>Date</t>
  </si>
  <si>
    <t>YouTube</t>
  </si>
  <si>
    <t>Video</t>
  </si>
  <si>
    <t>Tech</t>
  </si>
  <si>
    <t>Gaming</t>
  </si>
  <si>
    <t>Food</t>
  </si>
  <si>
    <t>Fashion</t>
  </si>
  <si>
    <t>Motivational</t>
  </si>
  <si>
    <t>Entertainment</t>
  </si>
  <si>
    <t>Storytelling</t>
  </si>
  <si>
    <t>Engagement Score</t>
  </si>
  <si>
    <t>Month Column</t>
  </si>
  <si>
    <t>Week Num</t>
  </si>
  <si>
    <t>Row Labels</t>
  </si>
  <si>
    <t>Grand Total</t>
  </si>
  <si>
    <t>Sum of Likes</t>
  </si>
  <si>
    <t>Sum of Comments</t>
  </si>
  <si>
    <t>Sum of Shares</t>
  </si>
  <si>
    <r>
      <t>:</t>
    </r>
    <r>
      <rPr>
        <sz val="11"/>
        <color theme="1"/>
        <rFont val="Calibri"/>
        <family val="2"/>
        <scheme val="minor"/>
      </rPr>
      <t xml:space="preserve"> Topic-wise total likes/comments/shares</t>
    </r>
  </si>
  <si>
    <r>
      <t>Pivot 2:</t>
    </r>
    <r>
      <rPr>
        <sz val="14"/>
        <color theme="1"/>
        <rFont val="Calibri"/>
        <family val="2"/>
        <scheme val="minor"/>
      </rPr>
      <t xml:space="preserve"> Topic-wise total engagement score → identify top topics</t>
    </r>
  </si>
  <si>
    <t>Sum of Engagement Score</t>
  </si>
  <si>
    <t>top3 topics</t>
  </si>
  <si>
    <r>
      <t>Pivot 3:</t>
    </r>
    <r>
      <rPr>
        <sz val="11"/>
        <color theme="1"/>
        <rFont val="Calibri"/>
        <family val="2"/>
        <scheme val="minor"/>
      </rPr>
      <t xml:space="preserve"> Date-wise trend (line chart) → engagement over 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</si>
</sst>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0" fillId="33" borderId="0" xfId="0" applyFill="1"/>
    <xf numFmtId="0" fontId="16" fillId="0" borderId="0" xfId="0" applyFont="1" applyAlignment="1">
      <alignment horizontal="left" vertical="center" indent="1"/>
    </xf>
    <xf numFmtId="0" fontId="18" fillId="33" borderId="0" xfId="0" applyFont="1" applyFill="1" applyAlignment="1">
      <alignment horizontal="left" vertical="center" indent="1"/>
    </xf>
    <xf numFmtId="0" fontId="19" fillId="33" borderId="0" xfId="0" applyFont="1" applyFill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[DatasetProject.xlsx]Sheet2!PivotTable5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Sheet2!$A$25:$A$75</c:f>
              <c:strCache>
                <c:ptCount val="50"/>
                <c:pt idx="0">
                  <c:v>01-09-2025</c:v>
                </c:pt>
                <c:pt idx="1">
                  <c:v>02-09-2025</c:v>
                </c:pt>
                <c:pt idx="2">
                  <c:v>03-09-2025</c:v>
                </c:pt>
                <c:pt idx="3">
                  <c:v>04-09-2025</c:v>
                </c:pt>
                <c:pt idx="4">
                  <c:v>05-09-2025</c:v>
                </c:pt>
                <c:pt idx="5">
                  <c:v>06-09-2025</c:v>
                </c:pt>
                <c:pt idx="6">
                  <c:v>07-09-2025</c:v>
                </c:pt>
                <c:pt idx="7">
                  <c:v>08-09-2025</c:v>
                </c:pt>
                <c:pt idx="8">
                  <c:v>09-09-2025</c:v>
                </c:pt>
                <c:pt idx="9">
                  <c:v>10-09-2025</c:v>
                </c:pt>
                <c:pt idx="10">
                  <c:v>11-09-2025</c:v>
                </c:pt>
                <c:pt idx="11">
                  <c:v>12-09-2025</c:v>
                </c:pt>
                <c:pt idx="12">
                  <c:v>13-09-2025</c:v>
                </c:pt>
                <c:pt idx="13">
                  <c:v>14-09-2025</c:v>
                </c:pt>
                <c:pt idx="14">
                  <c:v>15-09-2025</c:v>
                </c:pt>
                <c:pt idx="15">
                  <c:v>16-09-2025</c:v>
                </c:pt>
                <c:pt idx="16">
                  <c:v>17-09-2025</c:v>
                </c:pt>
                <c:pt idx="17">
                  <c:v>18-09-2025</c:v>
                </c:pt>
                <c:pt idx="18">
                  <c:v>19-09-2025</c:v>
                </c:pt>
                <c:pt idx="19">
                  <c:v>20-09-2025</c:v>
                </c:pt>
                <c:pt idx="20">
                  <c:v>21-09-2025</c:v>
                </c:pt>
                <c:pt idx="21">
                  <c:v>22-09-2025</c:v>
                </c:pt>
                <c:pt idx="22">
                  <c:v>23-09-2025</c:v>
                </c:pt>
                <c:pt idx="23">
                  <c:v>24-09-2025</c:v>
                </c:pt>
                <c:pt idx="24">
                  <c:v>25-09-2025</c:v>
                </c:pt>
                <c:pt idx="25">
                  <c:v>26-09-2025</c:v>
                </c:pt>
                <c:pt idx="26">
                  <c:v>27-09-2025</c:v>
                </c:pt>
                <c:pt idx="27">
                  <c:v>28-09-2025</c:v>
                </c:pt>
                <c:pt idx="28">
                  <c:v>29-09-2025</c:v>
                </c:pt>
                <c:pt idx="29">
                  <c:v>30-09-2025</c:v>
                </c:pt>
                <c:pt idx="30">
                  <c:v>01-10-2025</c:v>
                </c:pt>
                <c:pt idx="31">
                  <c:v>02-10-2025</c:v>
                </c:pt>
                <c:pt idx="32">
                  <c:v>03-10-2025</c:v>
                </c:pt>
                <c:pt idx="33">
                  <c:v>04-10-2025</c:v>
                </c:pt>
                <c:pt idx="34">
                  <c:v>05-10-2025</c:v>
                </c:pt>
                <c:pt idx="35">
                  <c:v>06-10-2025</c:v>
                </c:pt>
                <c:pt idx="36">
                  <c:v>07-10-2025</c:v>
                </c:pt>
                <c:pt idx="37">
                  <c:v>08-10-2025</c:v>
                </c:pt>
                <c:pt idx="38">
                  <c:v>09-10-2025</c:v>
                </c:pt>
                <c:pt idx="39">
                  <c:v>10-10-2025</c:v>
                </c:pt>
                <c:pt idx="40">
                  <c:v>11-10-2025</c:v>
                </c:pt>
                <c:pt idx="41">
                  <c:v>12-10-2025</c:v>
                </c:pt>
                <c:pt idx="42">
                  <c:v>13-10-2025</c:v>
                </c:pt>
                <c:pt idx="43">
                  <c:v>14-10-2025</c:v>
                </c:pt>
                <c:pt idx="44">
                  <c:v>15-10-2025</c:v>
                </c:pt>
                <c:pt idx="45">
                  <c:v>16-10-2025</c:v>
                </c:pt>
                <c:pt idx="46">
                  <c:v>17-10-2025</c:v>
                </c:pt>
                <c:pt idx="47">
                  <c:v>18-10-2025</c:v>
                </c:pt>
                <c:pt idx="48">
                  <c:v>19-10-2025</c:v>
                </c:pt>
                <c:pt idx="49">
                  <c:v>20-10-2025</c:v>
                </c:pt>
              </c:strCache>
            </c:strRef>
          </c:cat>
          <c:val>
            <c:numRef>
              <c:f>Sheet2!$B$25:$B$75</c:f>
              <c:numCache>
                <c:formatCode>General</c:formatCode>
                <c:ptCount val="50"/>
                <c:pt idx="0">
                  <c:v>175</c:v>
                </c:pt>
                <c:pt idx="1">
                  <c:v>240</c:v>
                </c:pt>
                <c:pt idx="2">
                  <c:v>118</c:v>
                </c:pt>
                <c:pt idx="3">
                  <c:v>213</c:v>
                </c:pt>
                <c:pt idx="4">
                  <c:v>272</c:v>
                </c:pt>
                <c:pt idx="5">
                  <c:v>365</c:v>
                </c:pt>
                <c:pt idx="6">
                  <c:v>295</c:v>
                </c:pt>
                <c:pt idx="7">
                  <c:v>198</c:v>
                </c:pt>
                <c:pt idx="8">
                  <c:v>227</c:v>
                </c:pt>
                <c:pt idx="9">
                  <c:v>142</c:v>
                </c:pt>
                <c:pt idx="10">
                  <c:v>187</c:v>
                </c:pt>
                <c:pt idx="11">
                  <c:v>259</c:v>
                </c:pt>
                <c:pt idx="12">
                  <c:v>391</c:v>
                </c:pt>
                <c:pt idx="13">
                  <c:v>322</c:v>
                </c:pt>
                <c:pt idx="14">
                  <c:v>181</c:v>
                </c:pt>
                <c:pt idx="15">
                  <c:v>234</c:v>
                </c:pt>
                <c:pt idx="16">
                  <c:v>152</c:v>
                </c:pt>
                <c:pt idx="17">
                  <c:v>207</c:v>
                </c:pt>
                <c:pt idx="18">
                  <c:v>285</c:v>
                </c:pt>
                <c:pt idx="19">
                  <c:v>378</c:v>
                </c:pt>
                <c:pt idx="20">
                  <c:v>309</c:v>
                </c:pt>
                <c:pt idx="21">
                  <c:v>195</c:v>
                </c:pt>
                <c:pt idx="22">
                  <c:v>221</c:v>
                </c:pt>
                <c:pt idx="23">
                  <c:v>145</c:v>
                </c:pt>
                <c:pt idx="24">
                  <c:v>200</c:v>
                </c:pt>
                <c:pt idx="25">
                  <c:v>299</c:v>
                </c:pt>
                <c:pt idx="26">
                  <c:v>408</c:v>
                </c:pt>
                <c:pt idx="27">
                  <c:v>335</c:v>
                </c:pt>
                <c:pt idx="28">
                  <c:v>188</c:v>
                </c:pt>
                <c:pt idx="29">
                  <c:v>241</c:v>
                </c:pt>
                <c:pt idx="30">
                  <c:v>165</c:v>
                </c:pt>
                <c:pt idx="31">
                  <c:v>214</c:v>
                </c:pt>
                <c:pt idx="32">
                  <c:v>272</c:v>
                </c:pt>
                <c:pt idx="33">
                  <c:v>370</c:v>
                </c:pt>
                <c:pt idx="34">
                  <c:v>297</c:v>
                </c:pt>
                <c:pt idx="35">
                  <c:v>203</c:v>
                </c:pt>
                <c:pt idx="36">
                  <c:v>228</c:v>
                </c:pt>
                <c:pt idx="37">
                  <c:v>153</c:v>
                </c:pt>
                <c:pt idx="38">
                  <c:v>194</c:v>
                </c:pt>
                <c:pt idx="39">
                  <c:v>286</c:v>
                </c:pt>
                <c:pt idx="40">
                  <c:v>376</c:v>
                </c:pt>
                <c:pt idx="41">
                  <c:v>321</c:v>
                </c:pt>
                <c:pt idx="42">
                  <c:v>183</c:v>
                </c:pt>
                <c:pt idx="43">
                  <c:v>237</c:v>
                </c:pt>
                <c:pt idx="44">
                  <c:v>141</c:v>
                </c:pt>
                <c:pt idx="45">
                  <c:v>208</c:v>
                </c:pt>
                <c:pt idx="46">
                  <c:v>298</c:v>
                </c:pt>
                <c:pt idx="47">
                  <c:v>394</c:v>
                </c:pt>
                <c:pt idx="48">
                  <c:v>334</c:v>
                </c:pt>
                <c:pt idx="49">
                  <c:v>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3-4553-BF66-7C224FD9C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985791"/>
        <c:axId val="1864982911"/>
      </c:lineChart>
      <c:catAx>
        <c:axId val="186498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82911"/>
        <c:crosses val="autoZero"/>
        <c:auto val="1"/>
        <c:lblAlgn val="ctr"/>
        <c:lblOffset val="100"/>
        <c:noMultiLvlLbl val="0"/>
      </c:catAx>
      <c:valAx>
        <c:axId val="18649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8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649357</xdr:colOff>
      <xdr:row>25</xdr:row>
      <xdr:rowOff>3314</xdr:rowOff>
    </xdr:from>
    <xdr:to>
      <xdr:col>10</xdr:col>
      <xdr:colOff>265044</xdr:colOff>
      <xdr:row>39</xdr:row>
      <xdr:rowOff>79513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940E6-4B05-EED6-A7DA-A378F8D19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ltan" refreshedDate="45994.517924537038" createdVersion="8" refreshedVersion="8" minRefreshableVersion="3" recordCount="50" xr:uid="{C4502187-3DFB-4BEC-8A0B-5C05D971C5A6}">
  <cacheSource type="worksheet">
    <worksheetSource name="Dataset"/>
  </cacheSource>
  <cacheFields count="13">
    <cacheField name="Post ID" numFmtId="0">
      <sharedItems containsSemiMixedTypes="0" containsString="0" containsNumber="1" containsInteger="1" minValue="1" maxValue="50"/>
    </cacheField>
    <cacheField name="Platform" numFmtId="0">
      <sharedItems/>
    </cacheField>
    <cacheField name="Post Type" numFmtId="0">
      <sharedItems/>
    </cacheField>
    <cacheField name="Topic" numFmtId="0">
      <sharedItems count="7">
        <s v="Tech"/>
        <s v="Gaming"/>
        <s v="Food"/>
        <s v="Fashion"/>
        <s v="Motivational"/>
        <s v="Entertainment"/>
        <s v="Storytelling"/>
      </sharedItems>
    </cacheField>
    <cacheField name="Likes" numFmtId="0">
      <sharedItems containsSemiMixedTypes="0" containsString="0" containsNumber="1" containsInteger="1" minValue="100" maxValue="330"/>
    </cacheField>
    <cacheField name="Comments" numFmtId="0">
      <sharedItems containsSemiMixedTypes="0" containsString="0" containsNumber="1" containsInteger="1" minValue="15" maxValue="60"/>
    </cacheField>
    <cacheField name="Shares" numFmtId="0">
      <sharedItems containsSemiMixedTypes="0" containsString="0" containsNumber="1" containsInteger="1" minValue="3" maxValue="18"/>
    </cacheField>
    <cacheField name="Date" numFmtId="14">
      <sharedItems containsSemiMixedTypes="0" containsNonDate="0" containsDate="1" containsString="0" minDate="2025-09-01T00:00:00" maxDate="2025-10-21T00:00:00" count="50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</sharedItems>
      <fieldGroup par="12"/>
    </cacheField>
    <cacheField name="Engagement Score" numFmtId="0">
      <sharedItems containsSemiMixedTypes="0" containsString="0" containsNumber="1" containsInteger="1" minValue="118" maxValue="408"/>
    </cacheField>
    <cacheField name="Month Column" numFmtId="0">
      <sharedItems/>
    </cacheField>
    <cacheField name="Week Num" numFmtId="0">
      <sharedItems containsSemiMixedTypes="0" containsString="0" containsNumber="1" containsInteger="1" minValue="36" maxValue="43"/>
    </cacheField>
    <cacheField name="Days (Date)" numFmtId="0" databaseField="0">
      <fieldGroup base="7">
        <rangePr groupBy="days" startDate="2025-09-01T00:00:00" endDate="2025-10-21T00:00:00"/>
        <groupItems count="368">
          <s v="&lt;01-09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-10-2025"/>
        </groupItems>
      </fieldGroup>
    </cacheField>
    <cacheField name="Months (Date)" numFmtId="0" databaseField="0">
      <fieldGroup base="7">
        <rangePr groupBy="months" startDate="2025-09-01T00:00:00" endDate="2025-10-21T00:00:00"/>
        <groupItems count="14">
          <s v="&lt;01-09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YouTube"/>
    <s v="Video"/>
    <x v="0"/>
    <n v="150"/>
    <n v="20"/>
    <n v="5"/>
    <x v="0"/>
    <n v="175"/>
    <s v="Sep-2025"/>
    <n v="36"/>
  </r>
  <r>
    <n v="2"/>
    <s v="YouTube"/>
    <s v="Video"/>
    <x v="1"/>
    <n v="200"/>
    <n v="30"/>
    <n v="10"/>
    <x v="1"/>
    <n v="240"/>
    <s v="Sep-2025"/>
    <n v="36"/>
  </r>
  <r>
    <n v="3"/>
    <s v="YouTube"/>
    <s v="Video"/>
    <x v="2"/>
    <n v="100"/>
    <n v="15"/>
    <n v="3"/>
    <x v="2"/>
    <n v="118"/>
    <s v="Sep-2025"/>
    <n v="36"/>
  </r>
  <r>
    <n v="4"/>
    <s v="YouTube"/>
    <s v="Video"/>
    <x v="3"/>
    <n v="180"/>
    <n v="25"/>
    <n v="8"/>
    <x v="3"/>
    <n v="213"/>
    <s v="Sep-2025"/>
    <n v="36"/>
  </r>
  <r>
    <n v="5"/>
    <s v="YouTube"/>
    <s v="Video"/>
    <x v="4"/>
    <n v="220"/>
    <n v="40"/>
    <n v="12"/>
    <x v="4"/>
    <n v="272"/>
    <s v="Sep-2025"/>
    <n v="36"/>
  </r>
  <r>
    <n v="6"/>
    <s v="YouTube"/>
    <s v="Video"/>
    <x v="5"/>
    <n v="300"/>
    <n v="50"/>
    <n v="15"/>
    <x v="5"/>
    <n v="365"/>
    <s v="Sep-2025"/>
    <n v="36"/>
  </r>
  <r>
    <n v="7"/>
    <s v="YouTube"/>
    <s v="Video"/>
    <x v="6"/>
    <n v="250"/>
    <n v="35"/>
    <n v="10"/>
    <x v="6"/>
    <n v="295"/>
    <s v="Sep-2025"/>
    <n v="36"/>
  </r>
  <r>
    <n v="8"/>
    <s v="YouTube"/>
    <s v="Video"/>
    <x v="0"/>
    <n v="170"/>
    <n v="22"/>
    <n v="6"/>
    <x v="7"/>
    <n v="198"/>
    <s v="Sep-2025"/>
    <n v="37"/>
  </r>
  <r>
    <n v="9"/>
    <s v="YouTube"/>
    <s v="Video"/>
    <x v="1"/>
    <n v="190"/>
    <n v="28"/>
    <n v="9"/>
    <x v="8"/>
    <n v="227"/>
    <s v="Sep-2025"/>
    <n v="37"/>
  </r>
  <r>
    <n v="10"/>
    <s v="YouTube"/>
    <s v="Video"/>
    <x v="2"/>
    <n v="120"/>
    <n v="18"/>
    <n v="4"/>
    <x v="9"/>
    <n v="142"/>
    <s v="Sep-2025"/>
    <n v="37"/>
  </r>
  <r>
    <n v="11"/>
    <s v="YouTube"/>
    <s v="Video"/>
    <x v="3"/>
    <n v="160"/>
    <n v="20"/>
    <n v="7"/>
    <x v="10"/>
    <n v="187"/>
    <s v="Sep-2025"/>
    <n v="37"/>
  </r>
  <r>
    <n v="12"/>
    <s v="YouTube"/>
    <s v="Video"/>
    <x v="4"/>
    <n v="210"/>
    <n v="38"/>
    <n v="11"/>
    <x v="11"/>
    <n v="259"/>
    <s v="Sep-2025"/>
    <n v="37"/>
  </r>
  <r>
    <n v="13"/>
    <s v="YouTube"/>
    <s v="Video"/>
    <x v="5"/>
    <n v="320"/>
    <n v="55"/>
    <n v="16"/>
    <x v="12"/>
    <n v="391"/>
    <s v="Sep-2025"/>
    <n v="37"/>
  </r>
  <r>
    <n v="14"/>
    <s v="YouTube"/>
    <s v="Video"/>
    <x v="6"/>
    <n v="270"/>
    <n v="40"/>
    <n v="12"/>
    <x v="13"/>
    <n v="322"/>
    <s v="Sep-2025"/>
    <n v="37"/>
  </r>
  <r>
    <n v="15"/>
    <s v="YouTube"/>
    <s v="Video"/>
    <x v="0"/>
    <n v="155"/>
    <n v="21"/>
    <n v="5"/>
    <x v="14"/>
    <n v="181"/>
    <s v="Sep-2025"/>
    <n v="38"/>
  </r>
  <r>
    <n v="16"/>
    <s v="YouTube"/>
    <s v="Video"/>
    <x v="1"/>
    <n v="195"/>
    <n v="29"/>
    <n v="10"/>
    <x v="15"/>
    <n v="234"/>
    <s v="Sep-2025"/>
    <n v="38"/>
  </r>
  <r>
    <n v="17"/>
    <s v="YouTube"/>
    <s v="Video"/>
    <x v="2"/>
    <n v="130"/>
    <n v="17"/>
    <n v="5"/>
    <x v="16"/>
    <n v="152"/>
    <s v="Sep-2025"/>
    <n v="38"/>
  </r>
  <r>
    <n v="18"/>
    <s v="YouTube"/>
    <s v="Video"/>
    <x v="3"/>
    <n v="175"/>
    <n v="23"/>
    <n v="9"/>
    <x v="17"/>
    <n v="207"/>
    <s v="Sep-2025"/>
    <n v="38"/>
  </r>
  <r>
    <n v="19"/>
    <s v="YouTube"/>
    <s v="Video"/>
    <x v="4"/>
    <n v="230"/>
    <n v="42"/>
    <n v="13"/>
    <x v="18"/>
    <n v="285"/>
    <s v="Sep-2025"/>
    <n v="38"/>
  </r>
  <r>
    <n v="20"/>
    <s v="YouTube"/>
    <s v="Video"/>
    <x v="5"/>
    <n v="310"/>
    <n v="53"/>
    <n v="15"/>
    <x v="19"/>
    <n v="378"/>
    <s v="Sep-2025"/>
    <n v="38"/>
  </r>
  <r>
    <n v="21"/>
    <s v="YouTube"/>
    <s v="Video"/>
    <x v="6"/>
    <n v="260"/>
    <n v="38"/>
    <n v="11"/>
    <x v="20"/>
    <n v="309"/>
    <s v="Sep-2025"/>
    <n v="38"/>
  </r>
  <r>
    <n v="22"/>
    <s v="YouTube"/>
    <s v="Video"/>
    <x v="0"/>
    <n v="165"/>
    <n v="24"/>
    <n v="6"/>
    <x v="21"/>
    <n v="195"/>
    <s v="Sep-2025"/>
    <n v="39"/>
  </r>
  <r>
    <n v="23"/>
    <s v="YouTube"/>
    <s v="Video"/>
    <x v="1"/>
    <n v="185"/>
    <n v="27"/>
    <n v="9"/>
    <x v="22"/>
    <n v="221"/>
    <s v="Sep-2025"/>
    <n v="39"/>
  </r>
  <r>
    <n v="24"/>
    <s v="YouTube"/>
    <s v="Video"/>
    <x v="2"/>
    <n v="125"/>
    <n v="16"/>
    <n v="4"/>
    <x v="23"/>
    <n v="145"/>
    <s v="Sep-2025"/>
    <n v="39"/>
  </r>
  <r>
    <n v="25"/>
    <s v="YouTube"/>
    <s v="Video"/>
    <x v="3"/>
    <n v="170"/>
    <n v="22"/>
    <n v="8"/>
    <x v="24"/>
    <n v="200"/>
    <s v="Sep-2025"/>
    <n v="39"/>
  </r>
  <r>
    <n v="26"/>
    <s v="YouTube"/>
    <s v="Video"/>
    <x v="4"/>
    <n v="240"/>
    <n v="45"/>
    <n v="14"/>
    <x v="25"/>
    <n v="299"/>
    <s v="Sep-2025"/>
    <n v="39"/>
  </r>
  <r>
    <n v="27"/>
    <s v="YouTube"/>
    <s v="Video"/>
    <x v="5"/>
    <n v="330"/>
    <n v="60"/>
    <n v="18"/>
    <x v="26"/>
    <n v="408"/>
    <s v="Sep-2025"/>
    <n v="39"/>
  </r>
  <r>
    <n v="28"/>
    <s v="YouTube"/>
    <s v="Video"/>
    <x v="6"/>
    <n v="280"/>
    <n v="42"/>
    <n v="13"/>
    <x v="27"/>
    <n v="335"/>
    <s v="Sep-2025"/>
    <n v="39"/>
  </r>
  <r>
    <n v="29"/>
    <s v="YouTube"/>
    <s v="Video"/>
    <x v="0"/>
    <n v="160"/>
    <n v="23"/>
    <n v="5"/>
    <x v="28"/>
    <n v="188"/>
    <s v="Sep-2025"/>
    <n v="40"/>
  </r>
  <r>
    <n v="30"/>
    <s v="YouTube"/>
    <s v="Video"/>
    <x v="1"/>
    <n v="200"/>
    <n v="30"/>
    <n v="11"/>
    <x v="29"/>
    <n v="241"/>
    <s v="Sep-2025"/>
    <n v="40"/>
  </r>
  <r>
    <n v="31"/>
    <s v="YouTube"/>
    <s v="Video"/>
    <x v="2"/>
    <n v="140"/>
    <n v="19"/>
    <n v="6"/>
    <x v="30"/>
    <n v="165"/>
    <s v="Oct-2025"/>
    <n v="40"/>
  </r>
  <r>
    <n v="32"/>
    <s v="YouTube"/>
    <s v="Video"/>
    <x v="3"/>
    <n v="180"/>
    <n v="25"/>
    <n v="9"/>
    <x v="31"/>
    <n v="214"/>
    <s v="Oct-2025"/>
    <n v="40"/>
  </r>
  <r>
    <n v="33"/>
    <s v="YouTube"/>
    <s v="Video"/>
    <x v="4"/>
    <n v="220"/>
    <n v="40"/>
    <n v="12"/>
    <x v="32"/>
    <n v="272"/>
    <s v="Oct-2025"/>
    <n v="40"/>
  </r>
  <r>
    <n v="34"/>
    <s v="YouTube"/>
    <s v="Video"/>
    <x v="5"/>
    <n v="300"/>
    <n v="55"/>
    <n v="15"/>
    <x v="33"/>
    <n v="370"/>
    <s v="Oct-2025"/>
    <n v="40"/>
  </r>
  <r>
    <n v="35"/>
    <s v="YouTube"/>
    <s v="Video"/>
    <x v="6"/>
    <n v="250"/>
    <n v="37"/>
    <n v="10"/>
    <x v="34"/>
    <n v="297"/>
    <s v="Oct-2025"/>
    <n v="40"/>
  </r>
  <r>
    <n v="36"/>
    <s v="YouTube"/>
    <s v="Video"/>
    <x v="0"/>
    <n v="170"/>
    <n v="26"/>
    <n v="7"/>
    <x v="35"/>
    <n v="203"/>
    <s v="Oct-2025"/>
    <n v="41"/>
  </r>
  <r>
    <n v="37"/>
    <s v="YouTube"/>
    <s v="Video"/>
    <x v="1"/>
    <n v="190"/>
    <n v="28"/>
    <n v="10"/>
    <x v="36"/>
    <n v="228"/>
    <s v="Oct-2025"/>
    <n v="41"/>
  </r>
  <r>
    <n v="38"/>
    <s v="YouTube"/>
    <s v="Video"/>
    <x v="2"/>
    <n v="130"/>
    <n v="18"/>
    <n v="5"/>
    <x v="37"/>
    <n v="153"/>
    <s v="Oct-2025"/>
    <n v="41"/>
  </r>
  <r>
    <n v="39"/>
    <s v="YouTube"/>
    <s v="Video"/>
    <x v="3"/>
    <n v="165"/>
    <n v="21"/>
    <n v="8"/>
    <x v="38"/>
    <n v="194"/>
    <s v="Oct-2025"/>
    <n v="41"/>
  </r>
  <r>
    <n v="40"/>
    <s v="YouTube"/>
    <s v="Video"/>
    <x v="4"/>
    <n v="230"/>
    <n v="43"/>
    <n v="13"/>
    <x v="39"/>
    <n v="286"/>
    <s v="Oct-2025"/>
    <n v="41"/>
  </r>
  <r>
    <n v="41"/>
    <s v="YouTube"/>
    <s v="Video"/>
    <x v="5"/>
    <n v="310"/>
    <n v="50"/>
    <n v="16"/>
    <x v="40"/>
    <n v="376"/>
    <s v="Oct-2025"/>
    <n v="41"/>
  </r>
  <r>
    <n v="42"/>
    <s v="YouTube"/>
    <s v="Video"/>
    <x v="6"/>
    <n v="270"/>
    <n v="39"/>
    <n v="12"/>
    <x v="41"/>
    <n v="321"/>
    <s v="Oct-2025"/>
    <n v="41"/>
  </r>
  <r>
    <n v="43"/>
    <s v="YouTube"/>
    <s v="Video"/>
    <x v="0"/>
    <n v="155"/>
    <n v="22"/>
    <n v="6"/>
    <x v="42"/>
    <n v="183"/>
    <s v="Oct-2025"/>
    <n v="42"/>
  </r>
  <r>
    <n v="44"/>
    <s v="YouTube"/>
    <s v="Video"/>
    <x v="1"/>
    <n v="195"/>
    <n v="31"/>
    <n v="11"/>
    <x v="43"/>
    <n v="237"/>
    <s v="Oct-2025"/>
    <n v="42"/>
  </r>
  <r>
    <n v="45"/>
    <s v="YouTube"/>
    <s v="Video"/>
    <x v="2"/>
    <n v="120"/>
    <n v="17"/>
    <n v="4"/>
    <x v="44"/>
    <n v="141"/>
    <s v="Oct-2025"/>
    <n v="42"/>
  </r>
  <r>
    <n v="46"/>
    <s v="YouTube"/>
    <s v="Video"/>
    <x v="3"/>
    <n v="175"/>
    <n v="24"/>
    <n v="9"/>
    <x v="45"/>
    <n v="208"/>
    <s v="Oct-2025"/>
    <n v="42"/>
  </r>
  <r>
    <n v="47"/>
    <s v="YouTube"/>
    <s v="Video"/>
    <x v="4"/>
    <n v="240"/>
    <n v="44"/>
    <n v="14"/>
    <x v="46"/>
    <n v="298"/>
    <s v="Oct-2025"/>
    <n v="42"/>
  </r>
  <r>
    <n v="48"/>
    <s v="YouTube"/>
    <s v="Video"/>
    <x v="5"/>
    <n v="320"/>
    <n v="57"/>
    <n v="17"/>
    <x v="47"/>
    <n v="394"/>
    <s v="Oct-2025"/>
    <n v="42"/>
  </r>
  <r>
    <n v="49"/>
    <s v="YouTube"/>
    <s v="Video"/>
    <x v="6"/>
    <n v="280"/>
    <n v="41"/>
    <n v="13"/>
    <x v="48"/>
    <n v="334"/>
    <s v="Oct-2025"/>
    <n v="42"/>
  </r>
  <r>
    <n v="50"/>
    <s v="YouTube"/>
    <s v="Video"/>
    <x v="0"/>
    <n v="165"/>
    <n v="25"/>
    <n v="6"/>
    <x v="49"/>
    <n v="196"/>
    <s v="Oct-2025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823E1-FCEE-49FD-8477-6FC887F473E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4:B75" firstHeaderRow="1" firstDataRow="1" firstDataCol="1"/>
  <pivotFields count="13">
    <pivotField showAll="0"/>
    <pivotField showAll="0"/>
    <pivotField showAll="0"/>
    <pivotField showAll="0">
      <items count="8">
        <item x="5"/>
        <item x="3"/>
        <item x="2"/>
        <item x="1"/>
        <item x="4"/>
        <item x="6"/>
        <item x="0"/>
        <item t="default"/>
      </items>
    </pivotField>
    <pivotField showAll="0"/>
    <pivotField showAll="0"/>
    <pivotField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Engagement Score" fld="8" baseField="0" baseItem="0"/>
  </dataField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1">
              <x v="2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1">
              <x v="2"/>
            </reference>
          </references>
        </pivotArea>
      </pivotAreas>
    </conditionalFormat>
  </conditional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637FC-BD63-42AC-9652-5EC0F4A5DAD6}" name="Top3 topic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0" firstHeaderRow="1" firstDataRow="1" firstDataCol="1"/>
  <pivotFields count="13">
    <pivotField showAll="0"/>
    <pivotField showAll="0"/>
    <pivotField showAll="0"/>
    <pivotField axis="axisRow" showAll="0" measureFilter="1">
      <items count="8">
        <item x="5"/>
        <item x="3"/>
        <item x="2"/>
        <item x="1"/>
        <item x="4"/>
        <item x="6"/>
        <item x="0"/>
        <item t="default"/>
      </items>
    </pivotField>
    <pivotField showAll="0"/>
    <pivotField showAll="0"/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4"/>
    </i>
    <i>
      <x v="5"/>
    </i>
    <i t="grand">
      <x/>
    </i>
  </rowItems>
  <colItems count="1">
    <i/>
  </colItems>
  <dataFields count="1">
    <dataField name="Sum of Engagement Score" fld="8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0E882-AEF7-49E0-AC8C-28F89C86E799}" name="TopicwiseTotal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13">
    <pivotField showAll="0"/>
    <pivotField showAll="0"/>
    <pivotField showAll="0"/>
    <pivotField axis="axisRow" showAll="0">
      <items count="8">
        <item x="5"/>
        <item x="3"/>
        <item x="2"/>
        <item x="1"/>
        <item x="4"/>
        <item x="6"/>
        <item x="0"/>
        <item t="default"/>
      </items>
    </pivotField>
    <pivotField dataField="1" showAll="0"/>
    <pivotField dataField="1" showAll="0"/>
    <pivotField dataField="1"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4" baseField="0" baseItem="0"/>
    <dataField name="Sum of Comments" fld="5" baseField="0" baseItem="0"/>
    <dataField name="Sum of Shar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2FA41E-FD0C-4667-9FD7-A69DFCC7DF35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Post ID" tableColumnId="1"/>
      <queryTableField id="2" name="Platform" tableColumnId="2"/>
      <queryTableField id="3" name="Post Type" tableColumnId="3"/>
      <queryTableField id="4" name="Topic" tableColumnId="4"/>
      <queryTableField id="5" name="Likes" tableColumnId="5"/>
      <queryTableField id="6" name="Comments" tableColumnId="6"/>
      <queryTableField id="7" name="Shares" tableColumnId="7"/>
      <queryTableField id="8" name="Date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3A9705-DBE8-48AC-A194-B36255D07E5D}" name="Dataset" displayName="Dataset" ref="A1:K51" tableType="queryTable" totalsRowShown="0">
  <tableColumns count="11">
    <tableColumn id="1" xr3:uid="{38AFE430-F035-4DFF-B92D-9F6819FA3C1E}" uniqueName="1" name="Post ID" queryTableFieldId="1"/>
    <tableColumn id="2" xr3:uid="{8EA1970D-C103-435E-BC65-49D1E8E26810}" uniqueName="2" name="Platform" queryTableFieldId="2" dataDxfId="6"/>
    <tableColumn id="3" xr3:uid="{78AF9CA3-6266-40DF-B555-BAE10E5DC0B5}" uniqueName="3" name="Post Type" queryTableFieldId="3" dataDxfId="5"/>
    <tableColumn id="4" xr3:uid="{C838EF7D-3DC0-4520-9A00-0547CE6BBA2E}" uniqueName="4" name="Topic" queryTableFieldId="4" dataDxfId="4"/>
    <tableColumn id="5" xr3:uid="{FF7F3BAF-DF1F-4AE9-98A0-8B87FF5D4B5C}" uniqueName="5" name="Likes" queryTableFieldId="5"/>
    <tableColumn id="6" xr3:uid="{63F0AC61-B865-42D3-A192-EAF35AAF200D}" uniqueName="6" name="Comments" queryTableFieldId="6"/>
    <tableColumn id="7" xr3:uid="{FB1217CA-C77A-4429-8938-AACC34AEF938}" uniqueName="7" name="Shares" queryTableFieldId="7"/>
    <tableColumn id="8" xr3:uid="{1D709996-349D-4295-83C9-C4A53DB2D1C2}" uniqueName="8" name="Date" queryTableFieldId="8" dataDxfId="3"/>
    <tableColumn id="9" xr3:uid="{1564BE40-6B57-4D72-998F-5BAEAE430821}" uniqueName="9" name="Engagement Score" queryTableFieldId="9" dataDxfId="2">
      <calculatedColumnFormula>SUM(Dataset[[#This Row],[Likes]:[Shares]])</calculatedColumnFormula>
    </tableColumn>
    <tableColumn id="10" xr3:uid="{3E37ADF1-3E68-4560-9FEE-F90961991AC5}" uniqueName="10" name="Month Column" queryTableFieldId="10" dataDxfId="1">
      <calculatedColumnFormula>TEXT(Dataset[[#This Row],[Date]],"mmm-yyyy")</calculatedColumnFormula>
    </tableColumn>
    <tableColumn id="11" xr3:uid="{0ED9D87A-4420-40CB-967D-900F2D0E9994}" uniqueName="11" name="Week Num" queryTableFieldId="11" dataDxfId="0">
      <calculatedColumnFormula>WEEKNUM(Dataset[[#This Row],[Date]], 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409B-51CC-4720-A40C-5FE74DDAA243}">
  <dimension ref="A2:F75"/>
  <sheetViews>
    <sheetView topLeftCell="A63" zoomScale="115" zoomScaleNormal="115" workbookViewId="0">
      <selection activeCell="A78" sqref="A78"/>
    </sheetView>
  </sheetViews>
  <sheetFormatPr defaultRowHeight="14.4" x14ac:dyDescent="0.3"/>
  <cols>
    <col min="1" max="1" width="12.5546875" bestFit="1" customWidth="1"/>
    <col min="2" max="3" width="23.44140625" bestFit="1" customWidth="1"/>
    <col min="4" max="4" width="13.109375" bestFit="1" customWidth="1"/>
  </cols>
  <sheetData>
    <row r="2" spans="1:6" x14ac:dyDescent="0.3">
      <c r="A2" s="4" t="s">
        <v>25</v>
      </c>
      <c r="B2" s="5"/>
      <c r="C2" s="5"/>
    </row>
    <row r="3" spans="1:6" x14ac:dyDescent="0.3">
      <c r="A3" s="2" t="s">
        <v>20</v>
      </c>
      <c r="B3" t="s">
        <v>22</v>
      </c>
      <c r="C3" t="s">
        <v>23</v>
      </c>
      <c r="D3" t="s">
        <v>24</v>
      </c>
    </row>
    <row r="4" spans="1:6" x14ac:dyDescent="0.3">
      <c r="A4" s="3" t="s">
        <v>15</v>
      </c>
      <c r="B4">
        <v>2190</v>
      </c>
      <c r="C4">
        <v>380</v>
      </c>
      <c r="D4">
        <v>112</v>
      </c>
    </row>
    <row r="5" spans="1:6" x14ac:dyDescent="0.3">
      <c r="A5" s="3" t="s">
        <v>13</v>
      </c>
      <c r="B5">
        <v>1205</v>
      </c>
      <c r="C5">
        <v>160</v>
      </c>
      <c r="D5">
        <v>58</v>
      </c>
    </row>
    <row r="6" spans="1:6" x14ac:dyDescent="0.3">
      <c r="A6" s="3" t="s">
        <v>12</v>
      </c>
      <c r="B6">
        <v>865</v>
      </c>
      <c r="C6">
        <v>120</v>
      </c>
      <c r="D6">
        <v>31</v>
      </c>
    </row>
    <row r="7" spans="1:6" x14ac:dyDescent="0.3">
      <c r="A7" s="3" t="s">
        <v>11</v>
      </c>
      <c r="B7">
        <v>1355</v>
      </c>
      <c r="C7">
        <v>203</v>
      </c>
      <c r="D7">
        <v>70</v>
      </c>
    </row>
    <row r="8" spans="1:6" x14ac:dyDescent="0.3">
      <c r="A8" s="3" t="s">
        <v>14</v>
      </c>
      <c r="B8">
        <v>1590</v>
      </c>
      <c r="C8">
        <v>292</v>
      </c>
      <c r="D8">
        <v>89</v>
      </c>
    </row>
    <row r="9" spans="1:6" x14ac:dyDescent="0.3">
      <c r="A9" s="3" t="s">
        <v>16</v>
      </c>
      <c r="B9">
        <v>1860</v>
      </c>
      <c r="C9">
        <v>272</v>
      </c>
      <c r="D9">
        <v>81</v>
      </c>
    </row>
    <row r="10" spans="1:6" x14ac:dyDescent="0.3">
      <c r="A10" s="3" t="s">
        <v>10</v>
      </c>
      <c r="B10">
        <v>1290</v>
      </c>
      <c r="C10">
        <v>183</v>
      </c>
      <c r="D10">
        <v>46</v>
      </c>
    </row>
    <row r="11" spans="1:6" x14ac:dyDescent="0.3">
      <c r="A11" s="3" t="s">
        <v>21</v>
      </c>
      <c r="B11">
        <v>10355</v>
      </c>
      <c r="C11">
        <v>1610</v>
      </c>
      <c r="D11">
        <v>487</v>
      </c>
    </row>
    <row r="14" spans="1:6" ht="18" x14ac:dyDescent="0.35">
      <c r="A14" s="7" t="s">
        <v>26</v>
      </c>
      <c r="B14" s="8"/>
      <c r="C14" s="8"/>
      <c r="D14" s="8"/>
      <c r="E14" s="8"/>
      <c r="F14" s="5"/>
    </row>
    <row r="15" spans="1:6" x14ac:dyDescent="0.3">
      <c r="A15" t="s">
        <v>28</v>
      </c>
    </row>
    <row r="16" spans="1:6" x14ac:dyDescent="0.3">
      <c r="A16" s="2" t="s">
        <v>20</v>
      </c>
      <c r="B16" t="s">
        <v>27</v>
      </c>
    </row>
    <row r="17" spans="1:2" x14ac:dyDescent="0.3">
      <c r="A17" s="3" t="s">
        <v>15</v>
      </c>
      <c r="B17">
        <v>2682</v>
      </c>
    </row>
    <row r="18" spans="1:2" x14ac:dyDescent="0.3">
      <c r="A18" s="3" t="s">
        <v>14</v>
      </c>
      <c r="B18">
        <v>1971</v>
      </c>
    </row>
    <row r="19" spans="1:2" x14ac:dyDescent="0.3">
      <c r="A19" s="3" t="s">
        <v>16</v>
      </c>
      <c r="B19">
        <v>2213</v>
      </c>
    </row>
    <row r="20" spans="1:2" x14ac:dyDescent="0.3">
      <c r="A20" s="3" t="s">
        <v>21</v>
      </c>
      <c r="B20">
        <v>6866</v>
      </c>
    </row>
    <row r="23" spans="1:2" x14ac:dyDescent="0.3">
      <c r="A23" s="6" t="s">
        <v>29</v>
      </c>
    </row>
    <row r="24" spans="1:2" x14ac:dyDescent="0.3">
      <c r="A24" s="2" t="s">
        <v>20</v>
      </c>
      <c r="B24" t="s">
        <v>27</v>
      </c>
    </row>
    <row r="25" spans="1:2" x14ac:dyDescent="0.3">
      <c r="A25" s="9">
        <v>45901</v>
      </c>
      <c r="B25">
        <v>175</v>
      </c>
    </row>
    <row r="26" spans="1:2" x14ac:dyDescent="0.3">
      <c r="A26" s="9">
        <v>45902</v>
      </c>
      <c r="B26">
        <v>240</v>
      </c>
    </row>
    <row r="27" spans="1:2" x14ac:dyDescent="0.3">
      <c r="A27" s="9">
        <v>45903</v>
      </c>
      <c r="B27">
        <v>118</v>
      </c>
    </row>
    <row r="28" spans="1:2" x14ac:dyDescent="0.3">
      <c r="A28" s="9">
        <v>45904</v>
      </c>
      <c r="B28">
        <v>213</v>
      </c>
    </row>
    <row r="29" spans="1:2" x14ac:dyDescent="0.3">
      <c r="A29" s="9">
        <v>45905</v>
      </c>
      <c r="B29">
        <v>272</v>
      </c>
    </row>
    <row r="30" spans="1:2" x14ac:dyDescent="0.3">
      <c r="A30" s="9">
        <v>45906</v>
      </c>
      <c r="B30">
        <v>365</v>
      </c>
    </row>
    <row r="31" spans="1:2" x14ac:dyDescent="0.3">
      <c r="A31" s="9">
        <v>45907</v>
      </c>
      <c r="B31">
        <v>295</v>
      </c>
    </row>
    <row r="32" spans="1:2" x14ac:dyDescent="0.3">
      <c r="A32" s="9">
        <v>45908</v>
      </c>
      <c r="B32">
        <v>198</v>
      </c>
    </row>
    <row r="33" spans="1:2" x14ac:dyDescent="0.3">
      <c r="A33" s="9">
        <v>45909</v>
      </c>
      <c r="B33">
        <v>227</v>
      </c>
    </row>
    <row r="34" spans="1:2" x14ac:dyDescent="0.3">
      <c r="A34" s="9">
        <v>45910</v>
      </c>
      <c r="B34">
        <v>142</v>
      </c>
    </row>
    <row r="35" spans="1:2" x14ac:dyDescent="0.3">
      <c r="A35" s="9">
        <v>45911</v>
      </c>
      <c r="B35">
        <v>187</v>
      </c>
    </row>
    <row r="36" spans="1:2" x14ac:dyDescent="0.3">
      <c r="A36" s="9">
        <v>45912</v>
      </c>
      <c r="B36">
        <v>259</v>
      </c>
    </row>
    <row r="37" spans="1:2" x14ac:dyDescent="0.3">
      <c r="A37" s="9">
        <v>45913</v>
      </c>
      <c r="B37">
        <v>391</v>
      </c>
    </row>
    <row r="38" spans="1:2" x14ac:dyDescent="0.3">
      <c r="A38" s="9">
        <v>45914</v>
      </c>
      <c r="B38">
        <v>322</v>
      </c>
    </row>
    <row r="39" spans="1:2" x14ac:dyDescent="0.3">
      <c r="A39" s="9">
        <v>45915</v>
      </c>
      <c r="B39">
        <v>181</v>
      </c>
    </row>
    <row r="40" spans="1:2" x14ac:dyDescent="0.3">
      <c r="A40" s="9">
        <v>45916</v>
      </c>
      <c r="B40">
        <v>234</v>
      </c>
    </row>
    <row r="41" spans="1:2" x14ac:dyDescent="0.3">
      <c r="A41" s="9">
        <v>45917</v>
      </c>
      <c r="B41">
        <v>152</v>
      </c>
    </row>
    <row r="42" spans="1:2" x14ac:dyDescent="0.3">
      <c r="A42" s="9">
        <v>45918</v>
      </c>
      <c r="B42">
        <v>207</v>
      </c>
    </row>
    <row r="43" spans="1:2" x14ac:dyDescent="0.3">
      <c r="A43" s="9">
        <v>45919</v>
      </c>
      <c r="B43">
        <v>285</v>
      </c>
    </row>
    <row r="44" spans="1:2" x14ac:dyDescent="0.3">
      <c r="A44" s="9">
        <v>45920</v>
      </c>
      <c r="B44">
        <v>378</v>
      </c>
    </row>
    <row r="45" spans="1:2" x14ac:dyDescent="0.3">
      <c r="A45" s="9">
        <v>45921</v>
      </c>
      <c r="B45">
        <v>309</v>
      </c>
    </row>
    <row r="46" spans="1:2" x14ac:dyDescent="0.3">
      <c r="A46" s="9">
        <v>45922</v>
      </c>
      <c r="B46">
        <v>195</v>
      </c>
    </row>
    <row r="47" spans="1:2" x14ac:dyDescent="0.3">
      <c r="A47" s="9">
        <v>45923</v>
      </c>
      <c r="B47">
        <v>221</v>
      </c>
    </row>
    <row r="48" spans="1:2" x14ac:dyDescent="0.3">
      <c r="A48" s="9">
        <v>45924</v>
      </c>
      <c r="B48">
        <v>145</v>
      </c>
    </row>
    <row r="49" spans="1:2" x14ac:dyDescent="0.3">
      <c r="A49" s="9">
        <v>45925</v>
      </c>
      <c r="B49">
        <v>200</v>
      </c>
    </row>
    <row r="50" spans="1:2" x14ac:dyDescent="0.3">
      <c r="A50" s="9">
        <v>45926</v>
      </c>
      <c r="B50">
        <v>299</v>
      </c>
    </row>
    <row r="51" spans="1:2" x14ac:dyDescent="0.3">
      <c r="A51" s="9">
        <v>45927</v>
      </c>
      <c r="B51">
        <v>408</v>
      </c>
    </row>
    <row r="52" spans="1:2" x14ac:dyDescent="0.3">
      <c r="A52" s="9">
        <v>45928</v>
      </c>
      <c r="B52">
        <v>335</v>
      </c>
    </row>
    <row r="53" spans="1:2" x14ac:dyDescent="0.3">
      <c r="A53" s="9">
        <v>45929</v>
      </c>
      <c r="B53">
        <v>188</v>
      </c>
    </row>
    <row r="54" spans="1:2" x14ac:dyDescent="0.3">
      <c r="A54" s="9">
        <v>45930</v>
      </c>
      <c r="B54">
        <v>241</v>
      </c>
    </row>
    <row r="55" spans="1:2" x14ac:dyDescent="0.3">
      <c r="A55" s="9">
        <v>45931</v>
      </c>
      <c r="B55">
        <v>165</v>
      </c>
    </row>
    <row r="56" spans="1:2" x14ac:dyDescent="0.3">
      <c r="A56" s="9">
        <v>45932</v>
      </c>
      <c r="B56">
        <v>214</v>
      </c>
    </row>
    <row r="57" spans="1:2" x14ac:dyDescent="0.3">
      <c r="A57" s="9">
        <v>45933</v>
      </c>
      <c r="B57">
        <v>272</v>
      </c>
    </row>
    <row r="58" spans="1:2" x14ac:dyDescent="0.3">
      <c r="A58" s="9">
        <v>45934</v>
      </c>
      <c r="B58">
        <v>370</v>
      </c>
    </row>
    <row r="59" spans="1:2" x14ac:dyDescent="0.3">
      <c r="A59" s="9">
        <v>45935</v>
      </c>
      <c r="B59">
        <v>297</v>
      </c>
    </row>
    <row r="60" spans="1:2" x14ac:dyDescent="0.3">
      <c r="A60" s="9">
        <v>45936</v>
      </c>
      <c r="B60">
        <v>203</v>
      </c>
    </row>
    <row r="61" spans="1:2" x14ac:dyDescent="0.3">
      <c r="A61" s="9">
        <v>45937</v>
      </c>
      <c r="B61">
        <v>228</v>
      </c>
    </row>
    <row r="62" spans="1:2" x14ac:dyDescent="0.3">
      <c r="A62" s="9">
        <v>45938</v>
      </c>
      <c r="B62">
        <v>153</v>
      </c>
    </row>
    <row r="63" spans="1:2" x14ac:dyDescent="0.3">
      <c r="A63" s="9">
        <v>45939</v>
      </c>
      <c r="B63">
        <v>194</v>
      </c>
    </row>
    <row r="64" spans="1:2" x14ac:dyDescent="0.3">
      <c r="A64" s="9">
        <v>45940</v>
      </c>
      <c r="B64">
        <v>286</v>
      </c>
    </row>
    <row r="65" spans="1:2" x14ac:dyDescent="0.3">
      <c r="A65" s="9">
        <v>45941</v>
      </c>
      <c r="B65">
        <v>376</v>
      </c>
    </row>
    <row r="66" spans="1:2" x14ac:dyDescent="0.3">
      <c r="A66" s="9">
        <v>45942</v>
      </c>
      <c r="B66">
        <v>321</v>
      </c>
    </row>
    <row r="67" spans="1:2" x14ac:dyDescent="0.3">
      <c r="A67" s="9">
        <v>45943</v>
      </c>
      <c r="B67">
        <v>183</v>
      </c>
    </row>
    <row r="68" spans="1:2" x14ac:dyDescent="0.3">
      <c r="A68" s="9">
        <v>45944</v>
      </c>
      <c r="B68">
        <v>237</v>
      </c>
    </row>
    <row r="69" spans="1:2" x14ac:dyDescent="0.3">
      <c r="A69" s="9">
        <v>45945</v>
      </c>
      <c r="B69">
        <v>141</v>
      </c>
    </row>
    <row r="70" spans="1:2" x14ac:dyDescent="0.3">
      <c r="A70" s="9">
        <v>45946</v>
      </c>
      <c r="B70">
        <v>208</v>
      </c>
    </row>
    <row r="71" spans="1:2" x14ac:dyDescent="0.3">
      <c r="A71" s="9">
        <v>45947</v>
      </c>
      <c r="B71">
        <v>298</v>
      </c>
    </row>
    <row r="72" spans="1:2" x14ac:dyDescent="0.3">
      <c r="A72" s="9">
        <v>45948</v>
      </c>
      <c r="B72">
        <v>394</v>
      </c>
    </row>
    <row r="73" spans="1:2" x14ac:dyDescent="0.3">
      <c r="A73" s="9">
        <v>45949</v>
      </c>
      <c r="B73">
        <v>334</v>
      </c>
    </row>
    <row r="74" spans="1:2" x14ac:dyDescent="0.3">
      <c r="A74" s="9">
        <v>45950</v>
      </c>
      <c r="B74">
        <v>196</v>
      </c>
    </row>
    <row r="75" spans="1:2" x14ac:dyDescent="0.3">
      <c r="A75" s="9" t="s">
        <v>21</v>
      </c>
      <c r="B75">
        <v>12452</v>
      </c>
    </row>
  </sheetData>
  <conditionalFormatting pivot="1" sqref="B27">
    <cfRule type="cellIs" dxfId="9" priority="3" operator="lessThan">
      <formula>118</formula>
    </cfRule>
  </conditionalFormatting>
  <conditionalFormatting pivot="1" sqref="B25:B75">
    <cfRule type="cellIs" dxfId="8" priority="2" operator="lessThan">
      <formula>100</formula>
    </cfRule>
  </conditionalFormatting>
  <conditionalFormatting pivot="1" sqref="B27">
    <cfRule type="cellIs" dxfId="7" priority="1" operator="lessThan">
      <formula>120</formula>
    </cfRule>
  </conditionalFormatting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A00F-A74A-407C-997D-03C3CFE45E4B}">
  <dimension ref="A1:K51"/>
  <sheetViews>
    <sheetView tabSelected="1" workbookViewId="0">
      <selection activeCell="D16" sqref="D16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1.44140625" bestFit="1" customWidth="1"/>
    <col min="4" max="4" width="12.6640625" bestFit="1" customWidth="1"/>
    <col min="5" max="5" width="7.33203125" bestFit="1" customWidth="1"/>
    <col min="6" max="6" width="12.33203125" bestFit="1" customWidth="1"/>
    <col min="7" max="7" width="8.77734375" bestFit="1" customWidth="1"/>
    <col min="8" max="8" width="10.33203125" bestFit="1" customWidth="1"/>
    <col min="9" max="9" width="20.44140625" customWidth="1"/>
    <col min="10" max="10" width="17.77734375" customWidth="1"/>
    <col min="11" max="11" width="12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18</v>
      </c>
      <c r="K1" t="s">
        <v>19</v>
      </c>
    </row>
    <row r="2" spans="1:11" x14ac:dyDescent="0.3">
      <c r="A2">
        <v>1</v>
      </c>
      <c r="B2" t="s">
        <v>8</v>
      </c>
      <c r="C2" t="s">
        <v>9</v>
      </c>
      <c r="D2" t="s">
        <v>10</v>
      </c>
      <c r="E2">
        <v>150</v>
      </c>
      <c r="F2">
        <v>20</v>
      </c>
      <c r="G2">
        <v>5</v>
      </c>
      <c r="H2" s="1">
        <v>45901</v>
      </c>
      <c r="I2">
        <f>SUM(Dataset[[#This Row],[Likes]:[Shares]])</f>
        <v>175</v>
      </c>
      <c r="J2" t="str">
        <f>TEXT(Dataset[[#This Row],[Date]],"mmm-yyyy")</f>
        <v>Sep-2025</v>
      </c>
      <c r="K2">
        <f>WEEKNUM(Dataset[[#This Row],[Date]], 2)</f>
        <v>36</v>
      </c>
    </row>
    <row r="3" spans="1:11" x14ac:dyDescent="0.3">
      <c r="A3">
        <v>2</v>
      </c>
      <c r="B3" t="s">
        <v>8</v>
      </c>
      <c r="C3" t="s">
        <v>9</v>
      </c>
      <c r="D3" t="s">
        <v>11</v>
      </c>
      <c r="E3">
        <v>200</v>
      </c>
      <c r="F3">
        <v>30</v>
      </c>
      <c r="G3">
        <v>10</v>
      </c>
      <c r="H3" s="1">
        <v>45902</v>
      </c>
      <c r="I3">
        <f>SUM(Dataset[[#This Row],[Likes]:[Shares]])</f>
        <v>240</v>
      </c>
      <c r="J3" t="str">
        <f>TEXT(Dataset[[#This Row],[Date]],"mmm-yyyy")</f>
        <v>Sep-2025</v>
      </c>
      <c r="K3">
        <f>WEEKNUM(Dataset[[#This Row],[Date]], 2)</f>
        <v>36</v>
      </c>
    </row>
    <row r="4" spans="1:11" x14ac:dyDescent="0.3">
      <c r="A4">
        <v>3</v>
      </c>
      <c r="B4" t="s">
        <v>8</v>
      </c>
      <c r="C4" t="s">
        <v>9</v>
      </c>
      <c r="D4" t="s">
        <v>12</v>
      </c>
      <c r="E4">
        <v>100</v>
      </c>
      <c r="F4">
        <v>15</v>
      </c>
      <c r="G4">
        <v>3</v>
      </c>
      <c r="H4" s="1">
        <v>45903</v>
      </c>
      <c r="I4">
        <f>SUM(Dataset[[#This Row],[Likes]:[Shares]])</f>
        <v>118</v>
      </c>
      <c r="J4" t="str">
        <f>TEXT(Dataset[[#This Row],[Date]],"mmm-yyyy")</f>
        <v>Sep-2025</v>
      </c>
      <c r="K4">
        <f>WEEKNUM(Dataset[[#This Row],[Date]], 2)</f>
        <v>36</v>
      </c>
    </row>
    <row r="5" spans="1:11" x14ac:dyDescent="0.3">
      <c r="A5">
        <v>4</v>
      </c>
      <c r="B5" t="s">
        <v>8</v>
      </c>
      <c r="C5" t="s">
        <v>9</v>
      </c>
      <c r="D5" t="s">
        <v>13</v>
      </c>
      <c r="E5">
        <v>180</v>
      </c>
      <c r="F5">
        <v>25</v>
      </c>
      <c r="G5">
        <v>8</v>
      </c>
      <c r="H5" s="1">
        <v>45904</v>
      </c>
      <c r="I5">
        <f>SUM(Dataset[[#This Row],[Likes]:[Shares]])</f>
        <v>213</v>
      </c>
      <c r="J5" t="str">
        <f>TEXT(Dataset[[#This Row],[Date]],"mmm-yyyy")</f>
        <v>Sep-2025</v>
      </c>
      <c r="K5">
        <f>WEEKNUM(Dataset[[#This Row],[Date]], 2)</f>
        <v>36</v>
      </c>
    </row>
    <row r="6" spans="1:11" x14ac:dyDescent="0.3">
      <c r="A6">
        <v>5</v>
      </c>
      <c r="B6" t="s">
        <v>8</v>
      </c>
      <c r="C6" t="s">
        <v>9</v>
      </c>
      <c r="D6" t="s">
        <v>14</v>
      </c>
      <c r="E6">
        <v>220</v>
      </c>
      <c r="F6">
        <v>40</v>
      </c>
      <c r="G6">
        <v>12</v>
      </c>
      <c r="H6" s="1">
        <v>45905</v>
      </c>
      <c r="I6">
        <f>SUM(Dataset[[#This Row],[Likes]:[Shares]])</f>
        <v>272</v>
      </c>
      <c r="J6" t="str">
        <f>TEXT(Dataset[[#This Row],[Date]],"mmm-yyyy")</f>
        <v>Sep-2025</v>
      </c>
      <c r="K6">
        <f>WEEKNUM(Dataset[[#This Row],[Date]], 2)</f>
        <v>36</v>
      </c>
    </row>
    <row r="7" spans="1:11" x14ac:dyDescent="0.3">
      <c r="A7">
        <v>6</v>
      </c>
      <c r="B7" t="s">
        <v>8</v>
      </c>
      <c r="C7" t="s">
        <v>9</v>
      </c>
      <c r="D7" t="s">
        <v>15</v>
      </c>
      <c r="E7">
        <v>300</v>
      </c>
      <c r="F7">
        <v>50</v>
      </c>
      <c r="G7">
        <v>15</v>
      </c>
      <c r="H7" s="1">
        <v>45906</v>
      </c>
      <c r="I7">
        <f>SUM(Dataset[[#This Row],[Likes]:[Shares]])</f>
        <v>365</v>
      </c>
      <c r="J7" t="str">
        <f>TEXT(Dataset[[#This Row],[Date]],"mmm-yyyy")</f>
        <v>Sep-2025</v>
      </c>
      <c r="K7">
        <f>WEEKNUM(Dataset[[#This Row],[Date]], 2)</f>
        <v>36</v>
      </c>
    </row>
    <row r="8" spans="1:11" x14ac:dyDescent="0.3">
      <c r="A8">
        <v>7</v>
      </c>
      <c r="B8" t="s">
        <v>8</v>
      </c>
      <c r="C8" t="s">
        <v>9</v>
      </c>
      <c r="D8" t="s">
        <v>16</v>
      </c>
      <c r="E8">
        <v>250</v>
      </c>
      <c r="F8">
        <v>35</v>
      </c>
      <c r="G8">
        <v>10</v>
      </c>
      <c r="H8" s="1">
        <v>45907</v>
      </c>
      <c r="I8">
        <f>SUM(Dataset[[#This Row],[Likes]:[Shares]])</f>
        <v>295</v>
      </c>
      <c r="J8" t="str">
        <f>TEXT(Dataset[[#This Row],[Date]],"mmm-yyyy")</f>
        <v>Sep-2025</v>
      </c>
      <c r="K8">
        <f>WEEKNUM(Dataset[[#This Row],[Date]], 2)</f>
        <v>36</v>
      </c>
    </row>
    <row r="9" spans="1:11" x14ac:dyDescent="0.3">
      <c r="A9">
        <v>8</v>
      </c>
      <c r="B9" t="s">
        <v>8</v>
      </c>
      <c r="C9" t="s">
        <v>9</v>
      </c>
      <c r="D9" t="s">
        <v>10</v>
      </c>
      <c r="E9">
        <v>170</v>
      </c>
      <c r="F9">
        <v>22</v>
      </c>
      <c r="G9">
        <v>6</v>
      </c>
      <c r="H9" s="1">
        <v>45908</v>
      </c>
      <c r="I9">
        <f>SUM(Dataset[[#This Row],[Likes]:[Shares]])</f>
        <v>198</v>
      </c>
      <c r="J9" t="str">
        <f>TEXT(Dataset[[#This Row],[Date]],"mmm-yyyy")</f>
        <v>Sep-2025</v>
      </c>
      <c r="K9">
        <f>WEEKNUM(Dataset[[#This Row],[Date]], 2)</f>
        <v>37</v>
      </c>
    </row>
    <row r="10" spans="1:11" x14ac:dyDescent="0.3">
      <c r="A10">
        <v>9</v>
      </c>
      <c r="B10" t="s">
        <v>8</v>
      </c>
      <c r="C10" t="s">
        <v>9</v>
      </c>
      <c r="D10" t="s">
        <v>11</v>
      </c>
      <c r="E10">
        <v>190</v>
      </c>
      <c r="F10">
        <v>28</v>
      </c>
      <c r="G10">
        <v>9</v>
      </c>
      <c r="H10" s="1">
        <v>45909</v>
      </c>
      <c r="I10">
        <f>SUM(Dataset[[#This Row],[Likes]:[Shares]])</f>
        <v>227</v>
      </c>
      <c r="J10" t="str">
        <f>TEXT(Dataset[[#This Row],[Date]],"mmm-yyyy")</f>
        <v>Sep-2025</v>
      </c>
      <c r="K10">
        <f>WEEKNUM(Dataset[[#This Row],[Date]], 2)</f>
        <v>37</v>
      </c>
    </row>
    <row r="11" spans="1:11" x14ac:dyDescent="0.3">
      <c r="A11">
        <v>10</v>
      </c>
      <c r="B11" t="s">
        <v>8</v>
      </c>
      <c r="C11" t="s">
        <v>9</v>
      </c>
      <c r="D11" t="s">
        <v>12</v>
      </c>
      <c r="E11">
        <v>120</v>
      </c>
      <c r="F11">
        <v>18</v>
      </c>
      <c r="G11">
        <v>4</v>
      </c>
      <c r="H11" s="1">
        <v>45910</v>
      </c>
      <c r="I11">
        <f>SUM(Dataset[[#This Row],[Likes]:[Shares]])</f>
        <v>142</v>
      </c>
      <c r="J11" t="str">
        <f>TEXT(Dataset[[#This Row],[Date]],"mmm-yyyy")</f>
        <v>Sep-2025</v>
      </c>
      <c r="K11">
        <f>WEEKNUM(Dataset[[#This Row],[Date]], 2)</f>
        <v>37</v>
      </c>
    </row>
    <row r="12" spans="1:11" x14ac:dyDescent="0.3">
      <c r="A12">
        <v>11</v>
      </c>
      <c r="B12" t="s">
        <v>8</v>
      </c>
      <c r="C12" t="s">
        <v>9</v>
      </c>
      <c r="D12" t="s">
        <v>13</v>
      </c>
      <c r="E12">
        <v>160</v>
      </c>
      <c r="F12">
        <v>20</v>
      </c>
      <c r="G12">
        <v>7</v>
      </c>
      <c r="H12" s="1">
        <v>45911</v>
      </c>
      <c r="I12">
        <f>SUM(Dataset[[#This Row],[Likes]:[Shares]])</f>
        <v>187</v>
      </c>
      <c r="J12" t="str">
        <f>TEXT(Dataset[[#This Row],[Date]],"mmm-yyyy")</f>
        <v>Sep-2025</v>
      </c>
      <c r="K12">
        <f>WEEKNUM(Dataset[[#This Row],[Date]], 2)</f>
        <v>37</v>
      </c>
    </row>
    <row r="13" spans="1:11" x14ac:dyDescent="0.3">
      <c r="A13">
        <v>12</v>
      </c>
      <c r="B13" t="s">
        <v>8</v>
      </c>
      <c r="C13" t="s">
        <v>9</v>
      </c>
      <c r="D13" t="s">
        <v>14</v>
      </c>
      <c r="E13">
        <v>210</v>
      </c>
      <c r="F13">
        <v>38</v>
      </c>
      <c r="G13">
        <v>11</v>
      </c>
      <c r="H13" s="1">
        <v>45912</v>
      </c>
      <c r="I13">
        <f>SUM(Dataset[[#This Row],[Likes]:[Shares]])</f>
        <v>259</v>
      </c>
      <c r="J13" t="str">
        <f>TEXT(Dataset[[#This Row],[Date]],"mmm-yyyy")</f>
        <v>Sep-2025</v>
      </c>
      <c r="K13">
        <f>WEEKNUM(Dataset[[#This Row],[Date]], 2)</f>
        <v>37</v>
      </c>
    </row>
    <row r="14" spans="1:11" x14ac:dyDescent="0.3">
      <c r="A14">
        <v>13</v>
      </c>
      <c r="B14" t="s">
        <v>8</v>
      </c>
      <c r="C14" t="s">
        <v>9</v>
      </c>
      <c r="D14" t="s">
        <v>15</v>
      </c>
      <c r="E14">
        <v>320</v>
      </c>
      <c r="F14">
        <v>55</v>
      </c>
      <c r="G14">
        <v>16</v>
      </c>
      <c r="H14" s="1">
        <v>45913</v>
      </c>
      <c r="I14">
        <f>SUM(Dataset[[#This Row],[Likes]:[Shares]])</f>
        <v>391</v>
      </c>
      <c r="J14" t="str">
        <f>TEXT(Dataset[[#This Row],[Date]],"mmm-yyyy")</f>
        <v>Sep-2025</v>
      </c>
      <c r="K14">
        <f>WEEKNUM(Dataset[[#This Row],[Date]], 2)</f>
        <v>37</v>
      </c>
    </row>
    <row r="15" spans="1:11" x14ac:dyDescent="0.3">
      <c r="A15">
        <v>14</v>
      </c>
      <c r="B15" t="s">
        <v>8</v>
      </c>
      <c r="C15" t="s">
        <v>9</v>
      </c>
      <c r="D15" t="s">
        <v>16</v>
      </c>
      <c r="E15">
        <v>270</v>
      </c>
      <c r="F15">
        <v>40</v>
      </c>
      <c r="G15">
        <v>12</v>
      </c>
      <c r="H15" s="1">
        <v>45914</v>
      </c>
      <c r="I15">
        <f>SUM(Dataset[[#This Row],[Likes]:[Shares]])</f>
        <v>322</v>
      </c>
      <c r="J15" t="str">
        <f>TEXT(Dataset[[#This Row],[Date]],"mmm-yyyy")</f>
        <v>Sep-2025</v>
      </c>
      <c r="K15">
        <f>WEEKNUM(Dataset[[#This Row],[Date]], 2)</f>
        <v>37</v>
      </c>
    </row>
    <row r="16" spans="1:11" x14ac:dyDescent="0.3">
      <c r="A16">
        <v>15</v>
      </c>
      <c r="B16" t="s">
        <v>8</v>
      </c>
      <c r="C16" t="s">
        <v>9</v>
      </c>
      <c r="D16" t="s">
        <v>10</v>
      </c>
      <c r="E16">
        <v>155</v>
      </c>
      <c r="F16">
        <v>21</v>
      </c>
      <c r="G16">
        <v>5</v>
      </c>
      <c r="H16" s="1">
        <v>45915</v>
      </c>
      <c r="I16">
        <f>SUM(Dataset[[#This Row],[Likes]:[Shares]])</f>
        <v>181</v>
      </c>
      <c r="J16" t="str">
        <f>TEXT(Dataset[[#This Row],[Date]],"mmm-yyyy")</f>
        <v>Sep-2025</v>
      </c>
      <c r="K16">
        <f>WEEKNUM(Dataset[[#This Row],[Date]], 2)</f>
        <v>38</v>
      </c>
    </row>
    <row r="17" spans="1:11" x14ac:dyDescent="0.3">
      <c r="A17">
        <v>16</v>
      </c>
      <c r="B17" t="s">
        <v>8</v>
      </c>
      <c r="C17" t="s">
        <v>9</v>
      </c>
      <c r="D17" t="s">
        <v>11</v>
      </c>
      <c r="E17">
        <v>195</v>
      </c>
      <c r="F17">
        <v>29</v>
      </c>
      <c r="G17">
        <v>10</v>
      </c>
      <c r="H17" s="1">
        <v>45916</v>
      </c>
      <c r="I17">
        <f>SUM(Dataset[[#This Row],[Likes]:[Shares]])</f>
        <v>234</v>
      </c>
      <c r="J17" t="str">
        <f>TEXT(Dataset[[#This Row],[Date]],"mmm-yyyy")</f>
        <v>Sep-2025</v>
      </c>
      <c r="K17">
        <f>WEEKNUM(Dataset[[#This Row],[Date]], 2)</f>
        <v>38</v>
      </c>
    </row>
    <row r="18" spans="1:11" x14ac:dyDescent="0.3">
      <c r="A18">
        <v>17</v>
      </c>
      <c r="B18" t="s">
        <v>8</v>
      </c>
      <c r="C18" t="s">
        <v>9</v>
      </c>
      <c r="D18" t="s">
        <v>12</v>
      </c>
      <c r="E18">
        <v>130</v>
      </c>
      <c r="F18">
        <v>17</v>
      </c>
      <c r="G18">
        <v>5</v>
      </c>
      <c r="H18" s="1">
        <v>45917</v>
      </c>
      <c r="I18">
        <f>SUM(Dataset[[#This Row],[Likes]:[Shares]])</f>
        <v>152</v>
      </c>
      <c r="J18" t="str">
        <f>TEXT(Dataset[[#This Row],[Date]],"mmm-yyyy")</f>
        <v>Sep-2025</v>
      </c>
      <c r="K18">
        <f>WEEKNUM(Dataset[[#This Row],[Date]], 2)</f>
        <v>38</v>
      </c>
    </row>
    <row r="19" spans="1:11" x14ac:dyDescent="0.3">
      <c r="A19">
        <v>18</v>
      </c>
      <c r="B19" t="s">
        <v>8</v>
      </c>
      <c r="C19" t="s">
        <v>9</v>
      </c>
      <c r="D19" t="s">
        <v>13</v>
      </c>
      <c r="E19">
        <v>175</v>
      </c>
      <c r="F19">
        <v>23</v>
      </c>
      <c r="G19">
        <v>9</v>
      </c>
      <c r="H19" s="1">
        <v>45918</v>
      </c>
      <c r="I19">
        <f>SUM(Dataset[[#This Row],[Likes]:[Shares]])</f>
        <v>207</v>
      </c>
      <c r="J19" t="str">
        <f>TEXT(Dataset[[#This Row],[Date]],"mmm-yyyy")</f>
        <v>Sep-2025</v>
      </c>
      <c r="K19">
        <f>WEEKNUM(Dataset[[#This Row],[Date]], 2)</f>
        <v>38</v>
      </c>
    </row>
    <row r="20" spans="1:11" x14ac:dyDescent="0.3">
      <c r="A20">
        <v>19</v>
      </c>
      <c r="B20" t="s">
        <v>8</v>
      </c>
      <c r="C20" t="s">
        <v>9</v>
      </c>
      <c r="D20" t="s">
        <v>14</v>
      </c>
      <c r="E20">
        <v>230</v>
      </c>
      <c r="F20">
        <v>42</v>
      </c>
      <c r="G20">
        <v>13</v>
      </c>
      <c r="H20" s="1">
        <v>45919</v>
      </c>
      <c r="I20">
        <f>SUM(Dataset[[#This Row],[Likes]:[Shares]])</f>
        <v>285</v>
      </c>
      <c r="J20" t="str">
        <f>TEXT(Dataset[[#This Row],[Date]],"mmm-yyyy")</f>
        <v>Sep-2025</v>
      </c>
      <c r="K20">
        <f>WEEKNUM(Dataset[[#This Row],[Date]], 2)</f>
        <v>38</v>
      </c>
    </row>
    <row r="21" spans="1:11" x14ac:dyDescent="0.3">
      <c r="A21">
        <v>20</v>
      </c>
      <c r="B21" t="s">
        <v>8</v>
      </c>
      <c r="C21" t="s">
        <v>9</v>
      </c>
      <c r="D21" t="s">
        <v>15</v>
      </c>
      <c r="E21">
        <v>310</v>
      </c>
      <c r="F21">
        <v>53</v>
      </c>
      <c r="G21">
        <v>15</v>
      </c>
      <c r="H21" s="1">
        <v>45920</v>
      </c>
      <c r="I21">
        <f>SUM(Dataset[[#This Row],[Likes]:[Shares]])</f>
        <v>378</v>
      </c>
      <c r="J21" t="str">
        <f>TEXT(Dataset[[#This Row],[Date]],"mmm-yyyy")</f>
        <v>Sep-2025</v>
      </c>
      <c r="K21">
        <f>WEEKNUM(Dataset[[#This Row],[Date]], 2)</f>
        <v>38</v>
      </c>
    </row>
    <row r="22" spans="1:11" x14ac:dyDescent="0.3">
      <c r="A22">
        <v>21</v>
      </c>
      <c r="B22" t="s">
        <v>8</v>
      </c>
      <c r="C22" t="s">
        <v>9</v>
      </c>
      <c r="D22" t="s">
        <v>16</v>
      </c>
      <c r="E22">
        <v>260</v>
      </c>
      <c r="F22">
        <v>38</v>
      </c>
      <c r="G22">
        <v>11</v>
      </c>
      <c r="H22" s="1">
        <v>45921</v>
      </c>
      <c r="I22">
        <f>SUM(Dataset[[#This Row],[Likes]:[Shares]])</f>
        <v>309</v>
      </c>
      <c r="J22" t="str">
        <f>TEXT(Dataset[[#This Row],[Date]],"mmm-yyyy")</f>
        <v>Sep-2025</v>
      </c>
      <c r="K22">
        <f>WEEKNUM(Dataset[[#This Row],[Date]], 2)</f>
        <v>38</v>
      </c>
    </row>
    <row r="23" spans="1:11" x14ac:dyDescent="0.3">
      <c r="A23">
        <v>22</v>
      </c>
      <c r="B23" t="s">
        <v>8</v>
      </c>
      <c r="C23" t="s">
        <v>9</v>
      </c>
      <c r="D23" t="s">
        <v>10</v>
      </c>
      <c r="E23">
        <v>165</v>
      </c>
      <c r="F23">
        <v>24</v>
      </c>
      <c r="G23">
        <v>6</v>
      </c>
      <c r="H23" s="1">
        <v>45922</v>
      </c>
      <c r="I23">
        <f>SUM(Dataset[[#This Row],[Likes]:[Shares]])</f>
        <v>195</v>
      </c>
      <c r="J23" t="str">
        <f>TEXT(Dataset[[#This Row],[Date]],"mmm-yyyy")</f>
        <v>Sep-2025</v>
      </c>
      <c r="K23">
        <f>WEEKNUM(Dataset[[#This Row],[Date]], 2)</f>
        <v>39</v>
      </c>
    </row>
    <row r="24" spans="1:11" x14ac:dyDescent="0.3">
      <c r="A24">
        <v>23</v>
      </c>
      <c r="B24" t="s">
        <v>8</v>
      </c>
      <c r="C24" t="s">
        <v>9</v>
      </c>
      <c r="D24" t="s">
        <v>11</v>
      </c>
      <c r="E24">
        <v>185</v>
      </c>
      <c r="F24">
        <v>27</v>
      </c>
      <c r="G24">
        <v>9</v>
      </c>
      <c r="H24" s="1">
        <v>45923</v>
      </c>
      <c r="I24">
        <f>SUM(Dataset[[#This Row],[Likes]:[Shares]])</f>
        <v>221</v>
      </c>
      <c r="J24" t="str">
        <f>TEXT(Dataset[[#This Row],[Date]],"mmm-yyyy")</f>
        <v>Sep-2025</v>
      </c>
      <c r="K24">
        <f>WEEKNUM(Dataset[[#This Row],[Date]], 2)</f>
        <v>39</v>
      </c>
    </row>
    <row r="25" spans="1:11" x14ac:dyDescent="0.3">
      <c r="A25">
        <v>24</v>
      </c>
      <c r="B25" t="s">
        <v>8</v>
      </c>
      <c r="C25" t="s">
        <v>9</v>
      </c>
      <c r="D25" t="s">
        <v>12</v>
      </c>
      <c r="E25">
        <v>125</v>
      </c>
      <c r="F25">
        <v>16</v>
      </c>
      <c r="G25">
        <v>4</v>
      </c>
      <c r="H25" s="1">
        <v>45924</v>
      </c>
      <c r="I25">
        <f>SUM(Dataset[[#This Row],[Likes]:[Shares]])</f>
        <v>145</v>
      </c>
      <c r="J25" t="str">
        <f>TEXT(Dataset[[#This Row],[Date]],"mmm-yyyy")</f>
        <v>Sep-2025</v>
      </c>
      <c r="K25">
        <f>WEEKNUM(Dataset[[#This Row],[Date]], 2)</f>
        <v>39</v>
      </c>
    </row>
    <row r="26" spans="1:11" x14ac:dyDescent="0.3">
      <c r="A26">
        <v>25</v>
      </c>
      <c r="B26" t="s">
        <v>8</v>
      </c>
      <c r="C26" t="s">
        <v>9</v>
      </c>
      <c r="D26" t="s">
        <v>13</v>
      </c>
      <c r="E26">
        <v>170</v>
      </c>
      <c r="F26">
        <v>22</v>
      </c>
      <c r="G26">
        <v>8</v>
      </c>
      <c r="H26" s="1">
        <v>45925</v>
      </c>
      <c r="I26">
        <f>SUM(Dataset[[#This Row],[Likes]:[Shares]])</f>
        <v>200</v>
      </c>
      <c r="J26" t="str">
        <f>TEXT(Dataset[[#This Row],[Date]],"mmm-yyyy")</f>
        <v>Sep-2025</v>
      </c>
      <c r="K26">
        <f>WEEKNUM(Dataset[[#This Row],[Date]], 2)</f>
        <v>39</v>
      </c>
    </row>
    <row r="27" spans="1:11" x14ac:dyDescent="0.3">
      <c r="A27">
        <v>26</v>
      </c>
      <c r="B27" t="s">
        <v>8</v>
      </c>
      <c r="C27" t="s">
        <v>9</v>
      </c>
      <c r="D27" t="s">
        <v>14</v>
      </c>
      <c r="E27">
        <v>240</v>
      </c>
      <c r="F27">
        <v>45</v>
      </c>
      <c r="G27">
        <v>14</v>
      </c>
      <c r="H27" s="1">
        <v>45926</v>
      </c>
      <c r="I27">
        <f>SUM(Dataset[[#This Row],[Likes]:[Shares]])</f>
        <v>299</v>
      </c>
      <c r="J27" t="str">
        <f>TEXT(Dataset[[#This Row],[Date]],"mmm-yyyy")</f>
        <v>Sep-2025</v>
      </c>
      <c r="K27">
        <f>WEEKNUM(Dataset[[#This Row],[Date]], 2)</f>
        <v>39</v>
      </c>
    </row>
    <row r="28" spans="1:11" x14ac:dyDescent="0.3">
      <c r="A28">
        <v>27</v>
      </c>
      <c r="B28" t="s">
        <v>8</v>
      </c>
      <c r="C28" t="s">
        <v>9</v>
      </c>
      <c r="D28" t="s">
        <v>15</v>
      </c>
      <c r="E28">
        <v>330</v>
      </c>
      <c r="F28">
        <v>60</v>
      </c>
      <c r="G28">
        <v>18</v>
      </c>
      <c r="H28" s="1">
        <v>45927</v>
      </c>
      <c r="I28">
        <f>SUM(Dataset[[#This Row],[Likes]:[Shares]])</f>
        <v>408</v>
      </c>
      <c r="J28" t="str">
        <f>TEXT(Dataset[[#This Row],[Date]],"mmm-yyyy")</f>
        <v>Sep-2025</v>
      </c>
      <c r="K28">
        <f>WEEKNUM(Dataset[[#This Row],[Date]], 2)</f>
        <v>39</v>
      </c>
    </row>
    <row r="29" spans="1:11" x14ac:dyDescent="0.3">
      <c r="A29">
        <v>28</v>
      </c>
      <c r="B29" t="s">
        <v>8</v>
      </c>
      <c r="C29" t="s">
        <v>9</v>
      </c>
      <c r="D29" t="s">
        <v>16</v>
      </c>
      <c r="E29">
        <v>280</v>
      </c>
      <c r="F29">
        <v>42</v>
      </c>
      <c r="G29">
        <v>13</v>
      </c>
      <c r="H29" s="1">
        <v>45928</v>
      </c>
      <c r="I29">
        <f>SUM(Dataset[[#This Row],[Likes]:[Shares]])</f>
        <v>335</v>
      </c>
      <c r="J29" t="str">
        <f>TEXT(Dataset[[#This Row],[Date]],"mmm-yyyy")</f>
        <v>Sep-2025</v>
      </c>
      <c r="K29">
        <f>WEEKNUM(Dataset[[#This Row],[Date]], 2)</f>
        <v>39</v>
      </c>
    </row>
    <row r="30" spans="1:11" x14ac:dyDescent="0.3">
      <c r="A30">
        <v>29</v>
      </c>
      <c r="B30" t="s">
        <v>8</v>
      </c>
      <c r="C30" t="s">
        <v>9</v>
      </c>
      <c r="D30" t="s">
        <v>10</v>
      </c>
      <c r="E30">
        <v>160</v>
      </c>
      <c r="F30">
        <v>23</v>
      </c>
      <c r="G30">
        <v>5</v>
      </c>
      <c r="H30" s="1">
        <v>45929</v>
      </c>
      <c r="I30">
        <f>SUM(Dataset[[#This Row],[Likes]:[Shares]])</f>
        <v>188</v>
      </c>
      <c r="J30" t="str">
        <f>TEXT(Dataset[[#This Row],[Date]],"mmm-yyyy")</f>
        <v>Sep-2025</v>
      </c>
      <c r="K30">
        <f>WEEKNUM(Dataset[[#This Row],[Date]], 2)</f>
        <v>40</v>
      </c>
    </row>
    <row r="31" spans="1:11" x14ac:dyDescent="0.3">
      <c r="A31">
        <v>30</v>
      </c>
      <c r="B31" t="s">
        <v>8</v>
      </c>
      <c r="C31" t="s">
        <v>9</v>
      </c>
      <c r="D31" t="s">
        <v>11</v>
      </c>
      <c r="E31">
        <v>200</v>
      </c>
      <c r="F31">
        <v>30</v>
      </c>
      <c r="G31">
        <v>11</v>
      </c>
      <c r="H31" s="1">
        <v>45930</v>
      </c>
      <c r="I31">
        <f>SUM(Dataset[[#This Row],[Likes]:[Shares]])</f>
        <v>241</v>
      </c>
      <c r="J31" t="str">
        <f>TEXT(Dataset[[#This Row],[Date]],"mmm-yyyy")</f>
        <v>Sep-2025</v>
      </c>
      <c r="K31">
        <f>WEEKNUM(Dataset[[#This Row],[Date]], 2)</f>
        <v>40</v>
      </c>
    </row>
    <row r="32" spans="1:11" x14ac:dyDescent="0.3">
      <c r="A32">
        <v>31</v>
      </c>
      <c r="B32" t="s">
        <v>8</v>
      </c>
      <c r="C32" t="s">
        <v>9</v>
      </c>
      <c r="D32" t="s">
        <v>12</v>
      </c>
      <c r="E32">
        <v>140</v>
      </c>
      <c r="F32">
        <v>19</v>
      </c>
      <c r="G32">
        <v>6</v>
      </c>
      <c r="H32" s="1">
        <v>45931</v>
      </c>
      <c r="I32">
        <f>SUM(Dataset[[#This Row],[Likes]:[Shares]])</f>
        <v>165</v>
      </c>
      <c r="J32" t="str">
        <f>TEXT(Dataset[[#This Row],[Date]],"mmm-yyyy")</f>
        <v>Oct-2025</v>
      </c>
      <c r="K32">
        <f>WEEKNUM(Dataset[[#This Row],[Date]], 2)</f>
        <v>40</v>
      </c>
    </row>
    <row r="33" spans="1:11" x14ac:dyDescent="0.3">
      <c r="A33">
        <v>32</v>
      </c>
      <c r="B33" t="s">
        <v>8</v>
      </c>
      <c r="C33" t="s">
        <v>9</v>
      </c>
      <c r="D33" t="s">
        <v>13</v>
      </c>
      <c r="E33">
        <v>180</v>
      </c>
      <c r="F33">
        <v>25</v>
      </c>
      <c r="G33">
        <v>9</v>
      </c>
      <c r="H33" s="1">
        <v>45932</v>
      </c>
      <c r="I33">
        <f>SUM(Dataset[[#This Row],[Likes]:[Shares]])</f>
        <v>214</v>
      </c>
      <c r="J33" t="str">
        <f>TEXT(Dataset[[#This Row],[Date]],"mmm-yyyy")</f>
        <v>Oct-2025</v>
      </c>
      <c r="K33">
        <f>WEEKNUM(Dataset[[#This Row],[Date]], 2)</f>
        <v>40</v>
      </c>
    </row>
    <row r="34" spans="1:11" x14ac:dyDescent="0.3">
      <c r="A34">
        <v>33</v>
      </c>
      <c r="B34" t="s">
        <v>8</v>
      </c>
      <c r="C34" t="s">
        <v>9</v>
      </c>
      <c r="D34" t="s">
        <v>14</v>
      </c>
      <c r="E34">
        <v>220</v>
      </c>
      <c r="F34">
        <v>40</v>
      </c>
      <c r="G34">
        <v>12</v>
      </c>
      <c r="H34" s="1">
        <v>45933</v>
      </c>
      <c r="I34">
        <f>SUM(Dataset[[#This Row],[Likes]:[Shares]])</f>
        <v>272</v>
      </c>
      <c r="J34" t="str">
        <f>TEXT(Dataset[[#This Row],[Date]],"mmm-yyyy")</f>
        <v>Oct-2025</v>
      </c>
      <c r="K34">
        <f>WEEKNUM(Dataset[[#This Row],[Date]], 2)</f>
        <v>40</v>
      </c>
    </row>
    <row r="35" spans="1:11" x14ac:dyDescent="0.3">
      <c r="A35">
        <v>34</v>
      </c>
      <c r="B35" t="s">
        <v>8</v>
      </c>
      <c r="C35" t="s">
        <v>9</v>
      </c>
      <c r="D35" t="s">
        <v>15</v>
      </c>
      <c r="E35">
        <v>300</v>
      </c>
      <c r="F35">
        <v>55</v>
      </c>
      <c r="G35">
        <v>15</v>
      </c>
      <c r="H35" s="1">
        <v>45934</v>
      </c>
      <c r="I35">
        <f>SUM(Dataset[[#This Row],[Likes]:[Shares]])</f>
        <v>370</v>
      </c>
      <c r="J35" t="str">
        <f>TEXT(Dataset[[#This Row],[Date]],"mmm-yyyy")</f>
        <v>Oct-2025</v>
      </c>
      <c r="K35">
        <f>WEEKNUM(Dataset[[#This Row],[Date]], 2)</f>
        <v>40</v>
      </c>
    </row>
    <row r="36" spans="1:11" x14ac:dyDescent="0.3">
      <c r="A36">
        <v>35</v>
      </c>
      <c r="B36" t="s">
        <v>8</v>
      </c>
      <c r="C36" t="s">
        <v>9</v>
      </c>
      <c r="D36" t="s">
        <v>16</v>
      </c>
      <c r="E36">
        <v>250</v>
      </c>
      <c r="F36">
        <v>37</v>
      </c>
      <c r="G36">
        <v>10</v>
      </c>
      <c r="H36" s="1">
        <v>45935</v>
      </c>
      <c r="I36">
        <f>SUM(Dataset[[#This Row],[Likes]:[Shares]])</f>
        <v>297</v>
      </c>
      <c r="J36" t="str">
        <f>TEXT(Dataset[[#This Row],[Date]],"mmm-yyyy")</f>
        <v>Oct-2025</v>
      </c>
      <c r="K36">
        <f>WEEKNUM(Dataset[[#This Row],[Date]], 2)</f>
        <v>40</v>
      </c>
    </row>
    <row r="37" spans="1:11" x14ac:dyDescent="0.3">
      <c r="A37">
        <v>36</v>
      </c>
      <c r="B37" t="s">
        <v>8</v>
      </c>
      <c r="C37" t="s">
        <v>9</v>
      </c>
      <c r="D37" t="s">
        <v>10</v>
      </c>
      <c r="E37">
        <v>170</v>
      </c>
      <c r="F37">
        <v>26</v>
      </c>
      <c r="G37">
        <v>7</v>
      </c>
      <c r="H37" s="1">
        <v>45936</v>
      </c>
      <c r="I37">
        <f>SUM(Dataset[[#This Row],[Likes]:[Shares]])</f>
        <v>203</v>
      </c>
      <c r="J37" t="str">
        <f>TEXT(Dataset[[#This Row],[Date]],"mmm-yyyy")</f>
        <v>Oct-2025</v>
      </c>
      <c r="K37">
        <f>WEEKNUM(Dataset[[#This Row],[Date]], 2)</f>
        <v>41</v>
      </c>
    </row>
    <row r="38" spans="1:11" x14ac:dyDescent="0.3">
      <c r="A38">
        <v>37</v>
      </c>
      <c r="B38" t="s">
        <v>8</v>
      </c>
      <c r="C38" t="s">
        <v>9</v>
      </c>
      <c r="D38" t="s">
        <v>11</v>
      </c>
      <c r="E38">
        <v>190</v>
      </c>
      <c r="F38">
        <v>28</v>
      </c>
      <c r="G38">
        <v>10</v>
      </c>
      <c r="H38" s="1">
        <v>45937</v>
      </c>
      <c r="I38">
        <f>SUM(Dataset[[#This Row],[Likes]:[Shares]])</f>
        <v>228</v>
      </c>
      <c r="J38" t="str">
        <f>TEXT(Dataset[[#This Row],[Date]],"mmm-yyyy")</f>
        <v>Oct-2025</v>
      </c>
      <c r="K38">
        <f>WEEKNUM(Dataset[[#This Row],[Date]], 2)</f>
        <v>41</v>
      </c>
    </row>
    <row r="39" spans="1:11" x14ac:dyDescent="0.3">
      <c r="A39">
        <v>38</v>
      </c>
      <c r="B39" t="s">
        <v>8</v>
      </c>
      <c r="C39" t="s">
        <v>9</v>
      </c>
      <c r="D39" t="s">
        <v>12</v>
      </c>
      <c r="E39">
        <v>130</v>
      </c>
      <c r="F39">
        <v>18</v>
      </c>
      <c r="G39">
        <v>5</v>
      </c>
      <c r="H39" s="1">
        <v>45938</v>
      </c>
      <c r="I39">
        <f>SUM(Dataset[[#This Row],[Likes]:[Shares]])</f>
        <v>153</v>
      </c>
      <c r="J39" t="str">
        <f>TEXT(Dataset[[#This Row],[Date]],"mmm-yyyy")</f>
        <v>Oct-2025</v>
      </c>
      <c r="K39">
        <f>WEEKNUM(Dataset[[#This Row],[Date]], 2)</f>
        <v>41</v>
      </c>
    </row>
    <row r="40" spans="1:11" x14ac:dyDescent="0.3">
      <c r="A40">
        <v>39</v>
      </c>
      <c r="B40" t="s">
        <v>8</v>
      </c>
      <c r="C40" t="s">
        <v>9</v>
      </c>
      <c r="D40" t="s">
        <v>13</v>
      </c>
      <c r="E40">
        <v>165</v>
      </c>
      <c r="F40">
        <v>21</v>
      </c>
      <c r="G40">
        <v>8</v>
      </c>
      <c r="H40" s="1">
        <v>45939</v>
      </c>
      <c r="I40">
        <f>SUM(Dataset[[#This Row],[Likes]:[Shares]])</f>
        <v>194</v>
      </c>
      <c r="J40" t="str">
        <f>TEXT(Dataset[[#This Row],[Date]],"mmm-yyyy")</f>
        <v>Oct-2025</v>
      </c>
      <c r="K40">
        <f>WEEKNUM(Dataset[[#This Row],[Date]], 2)</f>
        <v>41</v>
      </c>
    </row>
    <row r="41" spans="1:11" x14ac:dyDescent="0.3">
      <c r="A41">
        <v>40</v>
      </c>
      <c r="B41" t="s">
        <v>8</v>
      </c>
      <c r="C41" t="s">
        <v>9</v>
      </c>
      <c r="D41" t="s">
        <v>14</v>
      </c>
      <c r="E41">
        <v>230</v>
      </c>
      <c r="F41">
        <v>43</v>
      </c>
      <c r="G41">
        <v>13</v>
      </c>
      <c r="H41" s="1">
        <v>45940</v>
      </c>
      <c r="I41">
        <f>SUM(Dataset[[#This Row],[Likes]:[Shares]])</f>
        <v>286</v>
      </c>
      <c r="J41" t="str">
        <f>TEXT(Dataset[[#This Row],[Date]],"mmm-yyyy")</f>
        <v>Oct-2025</v>
      </c>
      <c r="K41">
        <f>WEEKNUM(Dataset[[#This Row],[Date]], 2)</f>
        <v>41</v>
      </c>
    </row>
    <row r="42" spans="1:11" x14ac:dyDescent="0.3">
      <c r="A42">
        <v>41</v>
      </c>
      <c r="B42" t="s">
        <v>8</v>
      </c>
      <c r="C42" t="s">
        <v>9</v>
      </c>
      <c r="D42" t="s">
        <v>15</v>
      </c>
      <c r="E42">
        <v>310</v>
      </c>
      <c r="F42">
        <v>50</v>
      </c>
      <c r="G42">
        <v>16</v>
      </c>
      <c r="H42" s="1">
        <v>45941</v>
      </c>
      <c r="I42">
        <f>SUM(Dataset[[#This Row],[Likes]:[Shares]])</f>
        <v>376</v>
      </c>
      <c r="J42" t="str">
        <f>TEXT(Dataset[[#This Row],[Date]],"mmm-yyyy")</f>
        <v>Oct-2025</v>
      </c>
      <c r="K42">
        <f>WEEKNUM(Dataset[[#This Row],[Date]], 2)</f>
        <v>41</v>
      </c>
    </row>
    <row r="43" spans="1:11" x14ac:dyDescent="0.3">
      <c r="A43">
        <v>42</v>
      </c>
      <c r="B43" t="s">
        <v>8</v>
      </c>
      <c r="C43" t="s">
        <v>9</v>
      </c>
      <c r="D43" t="s">
        <v>16</v>
      </c>
      <c r="E43">
        <v>270</v>
      </c>
      <c r="F43">
        <v>39</v>
      </c>
      <c r="G43">
        <v>12</v>
      </c>
      <c r="H43" s="1">
        <v>45942</v>
      </c>
      <c r="I43">
        <f>SUM(Dataset[[#This Row],[Likes]:[Shares]])</f>
        <v>321</v>
      </c>
      <c r="J43" t="str">
        <f>TEXT(Dataset[[#This Row],[Date]],"mmm-yyyy")</f>
        <v>Oct-2025</v>
      </c>
      <c r="K43">
        <f>WEEKNUM(Dataset[[#This Row],[Date]], 2)</f>
        <v>41</v>
      </c>
    </row>
    <row r="44" spans="1:11" x14ac:dyDescent="0.3">
      <c r="A44">
        <v>43</v>
      </c>
      <c r="B44" t="s">
        <v>8</v>
      </c>
      <c r="C44" t="s">
        <v>9</v>
      </c>
      <c r="D44" t="s">
        <v>10</v>
      </c>
      <c r="E44">
        <v>155</v>
      </c>
      <c r="F44">
        <v>22</v>
      </c>
      <c r="G44">
        <v>6</v>
      </c>
      <c r="H44" s="1">
        <v>45943</v>
      </c>
      <c r="I44">
        <f>SUM(Dataset[[#This Row],[Likes]:[Shares]])</f>
        <v>183</v>
      </c>
      <c r="J44" t="str">
        <f>TEXT(Dataset[[#This Row],[Date]],"mmm-yyyy")</f>
        <v>Oct-2025</v>
      </c>
      <c r="K44">
        <f>WEEKNUM(Dataset[[#This Row],[Date]], 2)</f>
        <v>42</v>
      </c>
    </row>
    <row r="45" spans="1:11" x14ac:dyDescent="0.3">
      <c r="A45">
        <v>44</v>
      </c>
      <c r="B45" t="s">
        <v>8</v>
      </c>
      <c r="C45" t="s">
        <v>9</v>
      </c>
      <c r="D45" t="s">
        <v>11</v>
      </c>
      <c r="E45">
        <v>195</v>
      </c>
      <c r="F45">
        <v>31</v>
      </c>
      <c r="G45">
        <v>11</v>
      </c>
      <c r="H45" s="1">
        <v>45944</v>
      </c>
      <c r="I45">
        <f>SUM(Dataset[[#This Row],[Likes]:[Shares]])</f>
        <v>237</v>
      </c>
      <c r="J45" t="str">
        <f>TEXT(Dataset[[#This Row],[Date]],"mmm-yyyy")</f>
        <v>Oct-2025</v>
      </c>
      <c r="K45">
        <f>WEEKNUM(Dataset[[#This Row],[Date]], 2)</f>
        <v>42</v>
      </c>
    </row>
    <row r="46" spans="1:11" x14ac:dyDescent="0.3">
      <c r="A46">
        <v>45</v>
      </c>
      <c r="B46" t="s">
        <v>8</v>
      </c>
      <c r="C46" t="s">
        <v>9</v>
      </c>
      <c r="D46" t="s">
        <v>12</v>
      </c>
      <c r="E46">
        <v>120</v>
      </c>
      <c r="F46">
        <v>17</v>
      </c>
      <c r="G46">
        <v>4</v>
      </c>
      <c r="H46" s="1">
        <v>45945</v>
      </c>
      <c r="I46">
        <f>SUM(Dataset[[#This Row],[Likes]:[Shares]])</f>
        <v>141</v>
      </c>
      <c r="J46" t="str">
        <f>TEXT(Dataset[[#This Row],[Date]],"mmm-yyyy")</f>
        <v>Oct-2025</v>
      </c>
      <c r="K46">
        <f>WEEKNUM(Dataset[[#This Row],[Date]], 2)</f>
        <v>42</v>
      </c>
    </row>
    <row r="47" spans="1:11" x14ac:dyDescent="0.3">
      <c r="A47">
        <v>46</v>
      </c>
      <c r="B47" t="s">
        <v>8</v>
      </c>
      <c r="C47" t="s">
        <v>9</v>
      </c>
      <c r="D47" t="s">
        <v>13</v>
      </c>
      <c r="E47">
        <v>175</v>
      </c>
      <c r="F47">
        <v>24</v>
      </c>
      <c r="G47">
        <v>9</v>
      </c>
      <c r="H47" s="1">
        <v>45946</v>
      </c>
      <c r="I47">
        <f>SUM(Dataset[[#This Row],[Likes]:[Shares]])</f>
        <v>208</v>
      </c>
      <c r="J47" t="str">
        <f>TEXT(Dataset[[#This Row],[Date]],"mmm-yyyy")</f>
        <v>Oct-2025</v>
      </c>
      <c r="K47">
        <f>WEEKNUM(Dataset[[#This Row],[Date]], 2)</f>
        <v>42</v>
      </c>
    </row>
    <row r="48" spans="1:11" x14ac:dyDescent="0.3">
      <c r="A48">
        <v>47</v>
      </c>
      <c r="B48" t="s">
        <v>8</v>
      </c>
      <c r="C48" t="s">
        <v>9</v>
      </c>
      <c r="D48" t="s">
        <v>14</v>
      </c>
      <c r="E48">
        <v>240</v>
      </c>
      <c r="F48">
        <v>44</v>
      </c>
      <c r="G48">
        <v>14</v>
      </c>
      <c r="H48" s="1">
        <v>45947</v>
      </c>
      <c r="I48">
        <f>SUM(Dataset[[#This Row],[Likes]:[Shares]])</f>
        <v>298</v>
      </c>
      <c r="J48" t="str">
        <f>TEXT(Dataset[[#This Row],[Date]],"mmm-yyyy")</f>
        <v>Oct-2025</v>
      </c>
      <c r="K48">
        <f>WEEKNUM(Dataset[[#This Row],[Date]], 2)</f>
        <v>42</v>
      </c>
    </row>
    <row r="49" spans="1:11" x14ac:dyDescent="0.3">
      <c r="A49">
        <v>48</v>
      </c>
      <c r="B49" t="s">
        <v>8</v>
      </c>
      <c r="C49" t="s">
        <v>9</v>
      </c>
      <c r="D49" t="s">
        <v>15</v>
      </c>
      <c r="E49">
        <v>320</v>
      </c>
      <c r="F49">
        <v>57</v>
      </c>
      <c r="G49">
        <v>17</v>
      </c>
      <c r="H49" s="1">
        <v>45948</v>
      </c>
      <c r="I49">
        <f>SUM(Dataset[[#This Row],[Likes]:[Shares]])</f>
        <v>394</v>
      </c>
      <c r="J49" t="str">
        <f>TEXT(Dataset[[#This Row],[Date]],"mmm-yyyy")</f>
        <v>Oct-2025</v>
      </c>
      <c r="K49">
        <f>WEEKNUM(Dataset[[#This Row],[Date]], 2)</f>
        <v>42</v>
      </c>
    </row>
    <row r="50" spans="1:11" x14ac:dyDescent="0.3">
      <c r="A50">
        <v>49</v>
      </c>
      <c r="B50" t="s">
        <v>8</v>
      </c>
      <c r="C50" t="s">
        <v>9</v>
      </c>
      <c r="D50" t="s">
        <v>16</v>
      </c>
      <c r="E50">
        <v>280</v>
      </c>
      <c r="F50">
        <v>41</v>
      </c>
      <c r="G50">
        <v>13</v>
      </c>
      <c r="H50" s="1">
        <v>45949</v>
      </c>
      <c r="I50">
        <f>SUM(Dataset[[#This Row],[Likes]:[Shares]])</f>
        <v>334</v>
      </c>
      <c r="J50" t="str">
        <f>TEXT(Dataset[[#This Row],[Date]],"mmm-yyyy")</f>
        <v>Oct-2025</v>
      </c>
      <c r="K50">
        <f>WEEKNUM(Dataset[[#This Row],[Date]], 2)</f>
        <v>42</v>
      </c>
    </row>
    <row r="51" spans="1:11" x14ac:dyDescent="0.3">
      <c r="A51">
        <v>50</v>
      </c>
      <c r="B51" t="s">
        <v>8</v>
      </c>
      <c r="C51" t="s">
        <v>9</v>
      </c>
      <c r="D51" t="s">
        <v>10</v>
      </c>
      <c r="E51">
        <v>165</v>
      </c>
      <c r="F51">
        <v>25</v>
      </c>
      <c r="G51">
        <v>6</v>
      </c>
      <c r="H51" s="1">
        <v>45950</v>
      </c>
      <c r="I51">
        <f>SUM(Dataset[[#This Row],[Likes]:[Shares]])</f>
        <v>196</v>
      </c>
      <c r="J51" t="str">
        <f>TEXT(Dataset[[#This Row],[Date]],"mmm-yyyy")</f>
        <v>Oct-2025</v>
      </c>
      <c r="K51">
        <f>WEEKNUM(Dataset[[#This Row],[Date]], 2)</f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20D4-5757-4A10-90B6-1D9CE6EB16A2}">
  <dimension ref="A1"/>
  <sheetViews>
    <sheetView workbookViewId="0">
      <selection activeCell="C27" sqref="C27"/>
    </sheetView>
  </sheetViews>
  <sheetFormatPr defaultRowHeight="14.4" x14ac:dyDescent="0.3"/>
  <cols>
    <col min="8" max="8" width="8.886718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50D7B6-A92A-4682-BB2C-870B000F1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Dataset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</dc:creator>
  <cp:lastModifiedBy>Shifa Siddiqui</cp:lastModifiedBy>
  <dcterms:created xsi:type="dcterms:W3CDTF">2025-12-03T06:25:17Z</dcterms:created>
  <dcterms:modified xsi:type="dcterms:W3CDTF">2025-12-03T07:13:20Z</dcterms:modified>
</cp:coreProperties>
</file>